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stateofdelaware.sharepoint.com/teams/DOSDPAMarkersWeb2-ManagerStuff/Shared Documents/Historical Markers Program/"/>
    </mc:Choice>
  </mc:AlternateContent>
  <xr:revisionPtr revIDLastSave="46029" documentId="8_{9A457A18-5186-4EE1-A8BF-A7AC6DBD7480}" xr6:coauthVersionLast="47" xr6:coauthVersionMax="47" xr10:uidLastSave="{7879D299-D76F-49A3-AA8A-20855CD3C5B6}"/>
  <bookViews>
    <workbookView xWindow="28905" yWindow="495" windowWidth="24120" windowHeight="13965" xr2:uid="{64A8E610-06BC-458A-B2A1-2C18010E364C}"/>
  </bookViews>
  <sheets>
    <sheet name="Markers" sheetId="1" r:id="rId1"/>
    <sheet name="Key" sheetId="3" r:id="rId2"/>
  </sheets>
  <definedNames>
    <definedName name="_Hlk98406301">Markers!#REF!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1" l="1"/>
  <c r="C143" i="1"/>
  <c r="C494" i="1"/>
  <c r="C488" i="1"/>
  <c r="C464" i="1"/>
  <c r="C9" i="1"/>
  <c r="C17" i="1"/>
  <c r="C304" i="1"/>
  <c r="C474" i="1"/>
  <c r="C128" i="1"/>
  <c r="C137" i="1"/>
  <c r="C631" i="1"/>
  <c r="C632" i="1"/>
  <c r="C3" i="1"/>
  <c r="C2" i="1"/>
  <c r="C4" i="1"/>
  <c r="C613" i="1" l="1"/>
  <c r="C53" i="1"/>
  <c r="C744" i="1"/>
  <c r="C743" i="1"/>
  <c r="C587" i="1"/>
  <c r="C612" i="1"/>
  <c r="C581" i="1"/>
  <c r="C415" i="1"/>
  <c r="C142" i="1"/>
  <c r="C242" i="1"/>
  <c r="C708" i="1"/>
  <c r="C43" i="1"/>
  <c r="C59" i="1"/>
  <c r="C112" i="1"/>
  <c r="C342" i="1"/>
  <c r="C274" i="1"/>
  <c r="C425" i="1"/>
  <c r="C733" i="1"/>
  <c r="C732" i="1"/>
  <c r="C730" i="1"/>
  <c r="C729" i="1"/>
  <c r="C728" i="1"/>
  <c r="C727" i="1"/>
  <c r="C726" i="1"/>
  <c r="C725" i="1"/>
  <c r="C724" i="1"/>
  <c r="C723" i="1"/>
  <c r="C722" i="1"/>
  <c r="C721" i="1"/>
  <c r="C720" i="1"/>
  <c r="C719" i="1"/>
  <c r="C718" i="1"/>
  <c r="C717" i="1"/>
  <c r="C716" i="1"/>
  <c r="C715" i="1"/>
  <c r="C714" i="1"/>
  <c r="C713" i="1"/>
  <c r="C712" i="1"/>
  <c r="C711" i="1"/>
  <c r="C710" i="1"/>
  <c r="C709"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0" i="1"/>
  <c r="C629" i="1"/>
  <c r="C628" i="1"/>
  <c r="C627" i="1"/>
  <c r="C626" i="1"/>
  <c r="C625" i="1"/>
  <c r="C624" i="1"/>
  <c r="C623" i="1"/>
  <c r="C622" i="1"/>
  <c r="C621" i="1"/>
  <c r="C620" i="1"/>
  <c r="C619" i="1"/>
  <c r="C618" i="1"/>
  <c r="C617" i="1"/>
  <c r="C616" i="1"/>
  <c r="C615" i="1"/>
  <c r="C614" i="1"/>
  <c r="C611" i="1"/>
  <c r="C610" i="1"/>
  <c r="C609" i="1"/>
  <c r="C608" i="1"/>
  <c r="C607" i="1"/>
  <c r="C606" i="1"/>
  <c r="C605" i="1"/>
  <c r="C604" i="1"/>
  <c r="C603" i="1"/>
  <c r="C602" i="1"/>
  <c r="C601" i="1"/>
  <c r="C600" i="1"/>
  <c r="C599" i="1"/>
  <c r="C598" i="1"/>
  <c r="C597" i="1"/>
  <c r="C596" i="1"/>
  <c r="C595" i="1"/>
  <c r="C594" i="1"/>
  <c r="C593" i="1"/>
  <c r="C592" i="1"/>
  <c r="C591" i="1"/>
  <c r="C590" i="1"/>
  <c r="C589" i="1"/>
  <c r="C588" i="1"/>
  <c r="C586" i="1"/>
  <c r="C585" i="1"/>
  <c r="C584" i="1"/>
  <c r="C583" i="1"/>
  <c r="C582"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3" i="1"/>
  <c r="C492" i="1"/>
  <c r="C491" i="1"/>
  <c r="C490" i="1"/>
  <c r="C489" i="1"/>
  <c r="C487" i="1"/>
  <c r="C486" i="1"/>
  <c r="C485" i="1"/>
  <c r="C484" i="1"/>
  <c r="C483" i="1"/>
  <c r="C482" i="1"/>
  <c r="C481" i="1"/>
  <c r="C480" i="1"/>
  <c r="C479" i="1"/>
  <c r="C478" i="1"/>
  <c r="C477" i="1"/>
  <c r="C476" i="1"/>
  <c r="C475" i="1"/>
  <c r="C473" i="1"/>
  <c r="C472" i="1"/>
  <c r="C471" i="1"/>
  <c r="C470" i="1"/>
  <c r="C469" i="1"/>
  <c r="C468" i="1"/>
  <c r="C467" i="1"/>
  <c r="C466" i="1"/>
  <c r="C465" i="1"/>
  <c r="C463" i="1"/>
  <c r="C462" i="1"/>
  <c r="C461" i="1"/>
  <c r="C460" i="1"/>
  <c r="C459" i="1"/>
  <c r="C458" i="1"/>
  <c r="C457" i="1"/>
  <c r="C456" i="1"/>
  <c r="C455" i="1"/>
  <c r="C454" i="1"/>
  <c r="C453" i="1"/>
  <c r="C452" i="1"/>
  <c r="C451" i="1"/>
  <c r="C450" i="1"/>
  <c r="C449" i="1"/>
  <c r="C448" i="1"/>
  <c r="C447" i="1"/>
  <c r="C446" i="1"/>
  <c r="C445" i="1"/>
  <c r="C444" i="1"/>
  <c r="C443" i="1"/>
  <c r="C442" i="1"/>
  <c r="C426" i="1"/>
  <c r="C441" i="1"/>
  <c r="C440" i="1"/>
  <c r="C439" i="1"/>
  <c r="C438" i="1"/>
  <c r="C437" i="1"/>
  <c r="C436" i="1"/>
  <c r="C435" i="1"/>
  <c r="C434" i="1"/>
  <c r="C424" i="1"/>
  <c r="C741" i="1"/>
  <c r="C740" i="1"/>
  <c r="C739" i="1"/>
  <c r="C738" i="1"/>
  <c r="C737" i="1"/>
  <c r="C736" i="1"/>
  <c r="C735" i="1"/>
  <c r="C423" i="1"/>
  <c r="C422" i="1"/>
  <c r="C421" i="1"/>
  <c r="C420" i="1"/>
  <c r="C418" i="1"/>
  <c r="C417" i="1"/>
  <c r="C416" i="1"/>
  <c r="C742"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1" i="1"/>
  <c r="C340" i="1"/>
  <c r="C339" i="1"/>
  <c r="C338" i="1"/>
  <c r="C337"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45" i="1"/>
  <c r="C155" i="1"/>
  <c r="C154" i="1"/>
  <c r="C153" i="1"/>
  <c r="C152" i="1"/>
  <c r="C151" i="1"/>
  <c r="C150" i="1"/>
  <c r="C149" i="1"/>
  <c r="C148" i="1"/>
  <c r="C144" i="1"/>
  <c r="C734" i="1"/>
  <c r="C140" i="1"/>
  <c r="C141" i="1"/>
  <c r="C139" i="1"/>
  <c r="C138" i="1"/>
  <c r="C136" i="1"/>
  <c r="C135" i="1"/>
  <c r="C134" i="1"/>
  <c r="C133" i="1"/>
  <c r="C132" i="1"/>
  <c r="C131" i="1"/>
  <c r="C130" i="1"/>
  <c r="C129" i="1"/>
  <c r="C127" i="1"/>
  <c r="C126" i="1"/>
  <c r="C125" i="1"/>
  <c r="C124" i="1"/>
  <c r="C123" i="1"/>
  <c r="C122" i="1"/>
  <c r="C121" i="1"/>
  <c r="C120" i="1"/>
  <c r="C119" i="1"/>
  <c r="C118" i="1"/>
  <c r="C117" i="1"/>
  <c r="C116" i="1"/>
  <c r="C115" i="1"/>
  <c r="C114" i="1"/>
  <c r="C113"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58" i="1"/>
  <c r="C57" i="1"/>
  <c r="C56" i="1"/>
  <c r="C55" i="1"/>
  <c r="C54" i="1"/>
  <c r="C52" i="1"/>
  <c r="C51" i="1"/>
  <c r="C50" i="1"/>
  <c r="C49" i="1"/>
  <c r="C48" i="1"/>
  <c r="C47" i="1"/>
  <c r="C46" i="1"/>
  <c r="C45" i="1"/>
  <c r="C44" i="1"/>
  <c r="C42" i="1"/>
  <c r="C41" i="1"/>
  <c r="C40" i="1"/>
  <c r="C39" i="1"/>
  <c r="C37" i="1"/>
  <c r="C36" i="1"/>
  <c r="C35" i="1"/>
  <c r="C34" i="1"/>
  <c r="C33" i="1"/>
  <c r="C32" i="1"/>
  <c r="C31" i="1"/>
  <c r="C30" i="1"/>
  <c r="C29" i="1"/>
  <c r="C28" i="1"/>
  <c r="C27" i="1"/>
  <c r="C26" i="1"/>
  <c r="C25" i="1"/>
  <c r="C24" i="1"/>
  <c r="C23" i="1"/>
  <c r="C22" i="1"/>
  <c r="C21" i="1"/>
  <c r="C20" i="1"/>
  <c r="C19" i="1"/>
  <c r="C18" i="1"/>
  <c r="C16" i="1"/>
  <c r="C15" i="1"/>
  <c r="C14" i="1"/>
  <c r="C13" i="1"/>
  <c r="C12" i="1"/>
  <c r="C11" i="1"/>
  <c r="C10" i="1"/>
  <c r="C8" i="1"/>
  <c r="C7" i="1"/>
  <c r="C6" i="1"/>
  <c r="C5" i="1"/>
</calcChain>
</file>

<file path=xl/sharedStrings.xml><?xml version="1.0" encoding="utf-8"?>
<sst xmlns="http://schemas.openxmlformats.org/spreadsheetml/2006/main" count="10805" uniqueCount="5346">
  <si>
    <t>Marker Number</t>
  </si>
  <si>
    <t>Marker Name</t>
  </si>
  <si>
    <t>Marker Num and Name</t>
  </si>
  <si>
    <t>Site Visit</t>
  </si>
  <si>
    <t>Condition</t>
  </si>
  <si>
    <t>Category</t>
  </si>
  <si>
    <t>Historical Category</t>
  </si>
  <si>
    <t>Text Review</t>
  </si>
  <si>
    <t>Original Funding Legislator(s)</t>
  </si>
  <si>
    <t>Legislative District SENATE</t>
  </si>
  <si>
    <t>Legislative District HOUSE</t>
  </si>
  <si>
    <t>Lat</t>
  </si>
  <si>
    <t>Long</t>
  </si>
  <si>
    <t>Street Address (or closest approximation)</t>
  </si>
  <si>
    <t>City</t>
  </si>
  <si>
    <t>Zip</t>
  </si>
  <si>
    <t>Location Name</t>
  </si>
  <si>
    <t>POC Information</t>
  </si>
  <si>
    <t>Notes</t>
  </si>
  <si>
    <t>Material</t>
  </si>
  <si>
    <t>Year Installed</t>
  </si>
  <si>
    <t>Date Unveiled</t>
  </si>
  <si>
    <t>Vendor</t>
  </si>
  <si>
    <t>Refurbished / Replaced</t>
  </si>
  <si>
    <t>URL</t>
  </si>
  <si>
    <t>Photo URL</t>
  </si>
  <si>
    <t>DE-001</t>
  </si>
  <si>
    <t>Delaware Public Archives</t>
  </si>
  <si>
    <t>4/29/2025 - VLM</t>
  </si>
  <si>
    <t>Good</t>
  </si>
  <si>
    <t>Historic Location</t>
  </si>
  <si>
    <t>9/25/2025 - VLM</t>
  </si>
  <si>
    <t>39.15837</t>
  </si>
  <si>
    <t>-75.52004</t>
  </si>
  <si>
    <t>121 Martin Luther King Jr Blvd N</t>
  </si>
  <si>
    <t>Dover</t>
  </si>
  <si>
    <t>DPA</t>
  </si>
  <si>
    <t xml:space="preserve"> </t>
  </si>
  <si>
    <t>Aluminum</t>
  </si>
  <si>
    <t>Sewah</t>
  </si>
  <si>
    <t>DE-002</t>
  </si>
  <si>
    <t>The State of Delaware Historical Markers Program</t>
  </si>
  <si>
    <t>Social History</t>
  </si>
  <si>
    <t>39.15791</t>
  </si>
  <si>
    <t>-75.52048</t>
  </si>
  <si>
    <t xml:space="preserve">KC-001 </t>
  </si>
  <si>
    <t>Duck Creek Hundred</t>
  </si>
  <si>
    <t>9/14/2023 - CM-S 3/18/2024 - CM-S</t>
  </si>
  <si>
    <t>Hundred</t>
  </si>
  <si>
    <t>9/25/2024 - VLM</t>
  </si>
  <si>
    <t>Historic Markers Commision 1932</t>
  </si>
  <si>
    <t>39.30930</t>
  </si>
  <si>
    <t>-75.60949</t>
  </si>
  <si>
    <t>5838 Dupont Parkway</t>
  </si>
  <si>
    <t>Smyrna</t>
  </si>
  <si>
    <t>Replaced and installed 8/10/2022. T. Reynolds REVERSED the locations + numbers for KC-001 + KC-003.</t>
  </si>
  <si>
    <t>Cast Iron</t>
  </si>
  <si>
    <t>https://archives.delaware.gov/delaware-historical-markers/duck-creek-hundred-1/</t>
  </si>
  <si>
    <t>https://archives.delaware.gov/wp-content/uploads/sites/156/2019/06/kc-1-24.jpg</t>
  </si>
  <si>
    <t xml:space="preserve">KC-002 </t>
  </si>
  <si>
    <t>Commodore Jacob Jones</t>
  </si>
  <si>
    <t>4/25/2022 - CM-S
5/30/2024 - CM-S</t>
  </si>
  <si>
    <t>Notable Person</t>
  </si>
  <si>
    <t>7/15/2024 - VLM</t>
  </si>
  <si>
    <t>200 South Dupont Boulevard</t>
  </si>
  <si>
    <t>Replaced 1959</t>
  </si>
  <si>
    <t>n/a</t>
  </si>
  <si>
    <t>https://archives.delaware.gov/delaware-historical-markers/commodore-jacob-jones/</t>
  </si>
  <si>
    <t>https://archives.delaware.gov/wp-content/uploads/sites/156/2019/06/kc-02-24.jpg</t>
  </si>
  <si>
    <t xml:space="preserve">KC-003 </t>
  </si>
  <si>
    <t xml:space="preserve">MISSING </t>
  </si>
  <si>
    <t>Missing</t>
  </si>
  <si>
    <t>9/18/2023 - VLM</t>
  </si>
  <si>
    <t>4167 South Dupont Boulevard</t>
  </si>
  <si>
    <t xml:space="preserve">KC-004 </t>
  </si>
  <si>
    <t>Little Creek Hundred</t>
  </si>
  <si>
    <t>6/12/2023 - CM-S 3/18/2024 - CM-S</t>
  </si>
  <si>
    <t>2/5/2025 - VLM</t>
  </si>
  <si>
    <t>Garrisons Lake Boat Ramp</t>
  </si>
  <si>
    <t>https://archives.delaware.gov/delaware-historical-markers/little-creek-hundred-4/</t>
  </si>
  <si>
    <t>https://archives.delaware.gov/wp-content/uploads/sites/156/2019/06/kc-004-25.jpg</t>
  </si>
  <si>
    <t xml:space="preserve">KC-005 </t>
  </si>
  <si>
    <t>Little Creek Hundred (Cheswold)</t>
  </si>
  <si>
    <t>4/26/2023 - CM-S
2/20/2024 - CM-S
7/18/2024 - CM-S</t>
  </si>
  <si>
    <t>1/6/2026 - VLM</t>
  </si>
  <si>
    <t>262 Main Street</t>
  </si>
  <si>
    <t>Cheswold</t>
  </si>
  <si>
    <t>https://archives.delaware.gov/delaware-historical-markers/little-creek-hundred-5/</t>
  </si>
  <si>
    <t>https://archives.delaware.gov/wp-content/uploads/sites/156/2019/06/kc-5-2.jpg</t>
  </si>
  <si>
    <t xml:space="preserve">KC-006 </t>
  </si>
  <si>
    <t>Kenton Hundred</t>
  </si>
  <si>
    <t>4/26/2023 - CM-S 6/12/2023 - CM-S</t>
  </si>
  <si>
    <t>7/1/2025 - VLM</t>
  </si>
  <si>
    <t>113 Main Street</t>
  </si>
  <si>
    <t>Consider moving 40ft to east in front of trees (instead of behind trees)</t>
  </si>
  <si>
    <t>https://archives.delaware.gov/delaware-historical-markers/kenton-hundred-6/</t>
  </si>
  <si>
    <t>https://archives.delaware.gov/wp-content/uploads/sites/156/2019/06/kc-06-25.jpg</t>
  </si>
  <si>
    <t xml:space="preserve">KC-007 </t>
  </si>
  <si>
    <t>MISSING</t>
  </si>
  <si>
    <t xml:space="preserve">39.200400  </t>
  </si>
  <si>
    <t>593 Sudlersville Road</t>
  </si>
  <si>
    <t>Clayton</t>
  </si>
  <si>
    <t xml:space="preserve">KC-008 </t>
  </si>
  <si>
    <t>39.20679</t>
  </si>
  <si>
    <t>-75.564931</t>
  </si>
  <si>
    <t>Rt 13, East side of Highway, 4.4 miles north of Dover Green</t>
  </si>
  <si>
    <t>No Info found</t>
  </si>
  <si>
    <t xml:space="preserve">KC-009 </t>
  </si>
  <si>
    <t>East Dover Hundred</t>
  </si>
  <si>
    <t>39.206342</t>
  </si>
  <si>
    <t>-75.565098</t>
  </si>
  <si>
    <t>U. S. Route No. 13. West side of highway, 4.4 miles north</t>
  </si>
  <si>
    <t>Info from historic pic + old webpage</t>
  </si>
  <si>
    <t xml:space="preserve">KC-010 </t>
  </si>
  <si>
    <t>West Dover Hundred</t>
  </si>
  <si>
    <t>5/16/2023 - CM-S
7/18/2024 - CM-S</t>
  </si>
  <si>
    <t>5/23/2023 - CM-S</t>
  </si>
  <si>
    <t>39.159137</t>
  </si>
  <si>
    <t>-75.557910</t>
  </si>
  <si>
    <t>1399 Forrest Avenue</t>
  </si>
  <si>
    <t>Near Intersection of Kenton &amp; Forrest</t>
  </si>
  <si>
    <t>Repaired 2015</t>
  </si>
  <si>
    <t>https://archives.delaware.gov/delaware-historical-markers/west-dover-hundred/</t>
  </si>
  <si>
    <t>https://archives.delaware.gov/wp-content/uploads/sites/156/2019/06/kc-10.jpg</t>
  </si>
  <si>
    <t xml:space="preserve">KC-011 </t>
  </si>
  <si>
    <t>39.155592</t>
  </si>
  <si>
    <t>-75.602694</t>
  </si>
  <si>
    <t>Dover-Marydel Road. South side of highway, 3.7 miles from</t>
  </si>
  <si>
    <t xml:space="preserve">KC-012 </t>
  </si>
  <si>
    <t>9/13/2023 - CM-S
3/19/2024 - CM-S</t>
  </si>
  <si>
    <t>Fair</t>
  </si>
  <si>
    <t xml:space="preserve"> 10/9/2023-VLM</t>
  </si>
  <si>
    <t>265 Halltown Road, Marydel, DE 19964</t>
  </si>
  <si>
    <t>Marydel</t>
  </si>
  <si>
    <t>Across the street from address - South side of Halltown Road / Rt. 8 - approx 50 feet east of the Maryland / Delaware line</t>
  </si>
  <si>
    <t>https://archives.delaware.gov/delaware-historical-markers/west-dover-hundred-12/</t>
  </si>
  <si>
    <t>https://archives.delaware.gov/wp-content/uploads/sites/156/2025/02/kc-12-25.jpg</t>
  </si>
  <si>
    <t xml:space="preserve">KC-013 </t>
  </si>
  <si>
    <t>1/8/2024 - CM-S</t>
  </si>
  <si>
    <t>2/12/2024 - VLM</t>
  </si>
  <si>
    <t>2015 S. Dupont Highway</t>
  </si>
  <si>
    <t>Refurbished in 2019</t>
  </si>
  <si>
    <t>1959, 2019</t>
  </si>
  <si>
    <t>https://archives.delaware.gov/delaware-historical-markers/east-dover-hundred-13/</t>
  </si>
  <si>
    <t>https://archives.delaware.gov/wp-content/uploads/sites/156/2019/06/kc-13-2.jpg</t>
  </si>
  <si>
    <t xml:space="preserve">KC-014 </t>
  </si>
  <si>
    <t>North Murderkill Hundred</t>
  </si>
  <si>
    <t>39.127565</t>
  </si>
  <si>
    <t>-75.531012</t>
  </si>
  <si>
    <t>No info found</t>
  </si>
  <si>
    <t xml:space="preserve">KC-015 </t>
  </si>
  <si>
    <t>4/22/2023 - CM-S 
8/14/2024 - CM-S</t>
  </si>
  <si>
    <t>Temporarily Inaccessible (Construction/Refurbishment)</t>
  </si>
  <si>
    <t>7/21/2025 - VLM</t>
  </si>
  <si>
    <t>9241 S. Dupont Highway</t>
  </si>
  <si>
    <t>Felton</t>
  </si>
  <si>
    <t>https://archives.delaware.gov/delaware-historical-markers/north-murderkill-hundred/</t>
  </si>
  <si>
    <t>https://archives.delaware.gov/wp-content/uploads/sites/156/2019/06/kc-15-25.jpg</t>
  </si>
  <si>
    <t xml:space="preserve">KC-016 </t>
  </si>
  <si>
    <t>South Murderkill Hundred</t>
  </si>
  <si>
    <t>39.035307</t>
  </si>
  <si>
    <t>-75.560835</t>
  </si>
  <si>
    <t xml:space="preserve">KC-017 </t>
  </si>
  <si>
    <t>Captain Jonathan Caldwell</t>
  </si>
  <si>
    <t>4/1/2022 - CM-S
8/14/2024 - CM-S</t>
  </si>
  <si>
    <t>3/1/2024 - VLM</t>
  </si>
  <si>
    <t>256 Midstate Road</t>
  </si>
  <si>
    <t>Needs refabrication - warped</t>
  </si>
  <si>
    <t>https://archives.delaware.gov/delaware-historical-markers/captain-jonathan-caldwell/</t>
  </si>
  <si>
    <t>https://archives.delaware.gov/wp-content/uploads/sites/156/2019/06/kc-17-2.jpg</t>
  </si>
  <si>
    <t xml:space="preserve">KC-018 </t>
  </si>
  <si>
    <t>38.971484</t>
  </si>
  <si>
    <t>-75.566521</t>
  </si>
  <si>
    <t>No info found. Info from historic pic</t>
  </si>
  <si>
    <t xml:space="preserve">KC-019 </t>
  </si>
  <si>
    <t>Mispillion Hundred</t>
  </si>
  <si>
    <t>38.971447</t>
  </si>
  <si>
    <t>-75.567057</t>
  </si>
  <si>
    <t xml:space="preserve">KC-020 </t>
  </si>
  <si>
    <t>38.834563</t>
  </si>
  <si>
    <t>-75.582363</t>
  </si>
  <si>
    <t xml:space="preserve">KC-021 </t>
  </si>
  <si>
    <t xml:space="preserve">KC-022 </t>
  </si>
  <si>
    <t>1/7/2026 - VLM</t>
  </si>
  <si>
    <t xml:space="preserve">KC-023 </t>
  </si>
  <si>
    <t>39.02476389</t>
  </si>
  <si>
    <t>-75.45929722</t>
  </si>
  <si>
    <t xml:space="preserve">KC-024 </t>
  </si>
  <si>
    <t xml:space="preserve">KC-025 </t>
  </si>
  <si>
    <t>Barratt's Chapel (Cradle of Methodism in America)</t>
  </si>
  <si>
    <t>3/7/2022 - CM-S 12/27/2023 - CM-S
3/26/2024 - CM-S</t>
  </si>
  <si>
    <t>House of Worship</t>
  </si>
  <si>
    <t>12/5/2025 - VLM</t>
  </si>
  <si>
    <t>39.024105</t>
  </si>
  <si>
    <t>6486 Bay Road</t>
  </si>
  <si>
    <t>Frederica</t>
  </si>
  <si>
    <t>See KC-093</t>
  </si>
  <si>
    <t>https://archives.delaware.gov/delaware-historical-markers/barratts-chapel-25/</t>
  </si>
  <si>
    <t>https://archives.delaware.gov/wp-content/uploads/sites/156/2025/11/kc-25-25.jpg</t>
  </si>
  <si>
    <t xml:space="preserve">KC-026 </t>
  </si>
  <si>
    <t xml:space="preserve">KC-027 </t>
  </si>
  <si>
    <t>Milford Hundred</t>
  </si>
  <si>
    <t xml:space="preserve">KC-028 </t>
  </si>
  <si>
    <t>Milford (Odd Fellows)</t>
  </si>
  <si>
    <t>3/30/2022 - CM-S</t>
  </si>
  <si>
    <t>City / Town</t>
  </si>
  <si>
    <t>5/14/2025 - VLM</t>
  </si>
  <si>
    <t>909 N. Walnut Street</t>
  </si>
  <si>
    <t>Milford</t>
  </si>
  <si>
    <t>https://archives.delaware.gov/delaware-historical-markers/milford-28/</t>
  </si>
  <si>
    <t>https://archives.delaware.gov/wp-content/uploads/sites/156/2025/05/kc-28-25.jpg</t>
  </si>
  <si>
    <t xml:space="preserve">KC-029 </t>
  </si>
  <si>
    <t>Milford (Carlisle)</t>
  </si>
  <si>
    <t>3/15/2022 - CM-S</t>
  </si>
  <si>
    <t>8/30/2023 - CM-S</t>
  </si>
  <si>
    <t>38.91318</t>
  </si>
  <si>
    <t>-75.43521</t>
  </si>
  <si>
    <t>501 North West Front Street</t>
  </si>
  <si>
    <t>KC-029 was originally located at intersection of RTS 14 &amp; 113 (beside Citizens Bank) - was moved to lawn of Thorne Mansion in 2005.   Upon recast of marker in 1966, Gov Rogers was dropped from marker for unknown reasons.</t>
  </si>
  <si>
    <t xml:space="preserve">https://archives.delaware.gov/delaware-historical-markers/milford-29/ </t>
  </si>
  <si>
    <t xml:space="preserve">https://archives.delaware.gov/wp-content/uploads/sites/156/2019/06/kc_029-2.jpg </t>
  </si>
  <si>
    <t xml:space="preserve">KC-030 </t>
  </si>
  <si>
    <t>4/21/2022 - TS</t>
  </si>
  <si>
    <t xml:space="preserve">KC-031 </t>
  </si>
  <si>
    <t xml:space="preserve">KC-032 </t>
  </si>
  <si>
    <t>Belmont Hall</t>
  </si>
  <si>
    <t>217 Smyrna Leipsic Road</t>
  </si>
  <si>
    <t>https://archives.delaware.gov/delaware-historical-markers/belmont-hall/</t>
  </si>
  <si>
    <t>https://archives.delaware.gov/wp-content/uploads/sites/156/2022/05/KC_32_1325-003-036_k32p_Belmont_Hall.jpg</t>
  </si>
  <si>
    <t xml:space="preserve">KC-033 </t>
  </si>
  <si>
    <t>Home of John Dickinson</t>
  </si>
  <si>
    <t>3/2/2022 - CM-S
12/13/2023 - CM-S</t>
  </si>
  <si>
    <t>1/8/2025 - VLM</t>
  </si>
  <si>
    <t>300 Kitts Hummock Road</t>
  </si>
  <si>
    <t>https://archives.delaware.gov/delaware-historical-markers/home-of-john-dickinson/</t>
  </si>
  <si>
    <t>https://archives.delaware.gov/wp-content/uploads/sites/156/2019/06/kc-33-24.jpg</t>
  </si>
  <si>
    <t xml:space="preserve">KC-034 </t>
  </si>
  <si>
    <t>Dover (Silver Lake)</t>
  </si>
  <si>
    <t>10/18/2023 - CM-S
3/18/2024 - CM-S
8/27/2024 - CM-S
12/19/2024 - VLM
12/26/2024 - CM-S</t>
  </si>
  <si>
    <t>10/18/2023 - VM</t>
  </si>
  <si>
    <t>879 North State Street</t>
  </si>
  <si>
    <t>https://archives.delaware.gov/delaware-historical-markers/dover-34/</t>
  </si>
  <si>
    <t>https://archives.delaware.gov/wp-content/uploads/sites/156/2019/06/kc-34-2.jpg</t>
  </si>
  <si>
    <t xml:space="preserve">KC-035 </t>
  </si>
  <si>
    <t>Dover (Loockerman Plaza)</t>
  </si>
  <si>
    <t>KC-035 - Dover</t>
  </si>
  <si>
    <t xml:space="preserve"> 12/2/2022 - DWC 4/4/2023 - CM-S 6/6/2023 - CM-S 12/19/2024 - VLM
12/26/2024 - CM-S</t>
  </si>
  <si>
    <t>12/11/2025 - VLM</t>
  </si>
  <si>
    <t>Public Archives Commission</t>
  </si>
  <si>
    <t>Legislative Ave &amp; Loockerman Plaza</t>
  </si>
  <si>
    <t>https://archives.delaware.gov/delaware-historical-markers/dover-35/</t>
  </si>
  <si>
    <t>https://archives.delaware.gov/wp-content/uploads/sites/156/2025/12/kc-35-25.jpg</t>
  </si>
  <si>
    <t xml:space="preserve">KC-036 </t>
  </si>
  <si>
    <t>Dover (Forrest Ave)</t>
  </si>
  <si>
    <t xml:space="preserve">904 Forest Street </t>
  </si>
  <si>
    <t>Info from historic pic + old webpage (844 Forest Street closer - VLM)</t>
  </si>
  <si>
    <t xml:space="preserve">KC-037 </t>
  </si>
  <si>
    <t>Dover (S. Governors Ave)</t>
  </si>
  <si>
    <t xml:space="preserve">Damaged. Sent for destruction 11/2021 </t>
  </si>
  <si>
    <t>Dover-bound side of Puncheon Run bridge on S. Governors Avenue</t>
  </si>
  <si>
    <t>Damaged at Kent Signs, Sent to DelDot 11/2021 for Destruction</t>
  </si>
  <si>
    <t xml:space="preserve">KC-038 </t>
  </si>
  <si>
    <t>Dover (S. State St.)</t>
  </si>
  <si>
    <t>4/21/2022 - CMS
10/16/2023 - CM-S</t>
  </si>
  <si>
    <t>1275 South State Street</t>
  </si>
  <si>
    <t>https://archives.delaware.gov/delaware-historical-markers/dover-38/</t>
  </si>
  <si>
    <t>https://archives.delaware.gov/wp-content/uploads/sites/156/2019/06/kc-38-24.jpg</t>
  </si>
  <si>
    <t xml:space="preserve">KC-039 </t>
  </si>
  <si>
    <t>Old Christ Church (Dover)</t>
  </si>
  <si>
    <t>3/23/2022 - CM-S 12/20/2022 - DWC
1/9/2025 - CM-S</t>
  </si>
  <si>
    <t>523 South State Street</t>
  </si>
  <si>
    <t>https://archives.delaware.gov/delaware-historical-markers/old-christ-church-39/</t>
  </si>
  <si>
    <t>https://archives.delaware.gov/wp-content/uploads/sites/156/2019/06/kc_39.jpg</t>
  </si>
  <si>
    <t xml:space="preserve">KC-040 </t>
  </si>
  <si>
    <t>Octagonal School House</t>
  </si>
  <si>
    <t>10/31/2022 - CM-S</t>
  </si>
  <si>
    <t>School</t>
  </si>
  <si>
    <t>12/31/2024 - VLM</t>
  </si>
  <si>
    <t>Historic Markers Commision 1969
Rep. William J. Carson, 2019</t>
  </si>
  <si>
    <t>39.19580</t>
  </si>
  <si>
    <t>-75.47252</t>
  </si>
  <si>
    <t>6926 Bayside Drive</t>
  </si>
  <si>
    <t>Site has 2 markers - 1 bronze on base (1969) &amp; Aluminum upright (2021) - Both markers are identified by KC-040</t>
  </si>
  <si>
    <t>https://archives.delaware.gov/delaware-historical-markers/octagonal-school-house/</t>
  </si>
  <si>
    <t>https://archives.delaware.gov/wp-content/uploads/sites/156/2019/06/kc-40-24.jpg</t>
  </si>
  <si>
    <t xml:space="preserve">KC-041 </t>
  </si>
  <si>
    <t>Camden</t>
  </si>
  <si>
    <t>Damaged. Sent for destruction 11/2021</t>
  </si>
  <si>
    <t>405 E. Camden Wyoming Road</t>
  </si>
  <si>
    <t>Damaged at Kent Signs, Sent to DelDot 11/2021 for Destruction.</t>
  </si>
  <si>
    <t xml:space="preserve">KC-042 </t>
  </si>
  <si>
    <t>Delaware State College</t>
  </si>
  <si>
    <t>12/3/2023 - CM-S</t>
  </si>
  <si>
    <t>Black History</t>
  </si>
  <si>
    <t>10/28/2024  - VLM</t>
  </si>
  <si>
    <t>1200 North Dupont Highway</t>
  </si>
  <si>
    <t>https://archives.delaware.gov/delaware-historical-markers/delaware-state-college/</t>
  </si>
  <si>
    <t>https://archives.delaware.gov/wp-content/uploads/sites/156/2019/06/kc-42-24.jpg</t>
  </si>
  <si>
    <t xml:space="preserve">KC-043 </t>
  </si>
  <si>
    <t>Bishop Richard Allen</t>
  </si>
  <si>
    <t>1/20/2023 - DWC 4/4/2023 - CM-S  
1/16/2024 CM-S 12/19/2024 - VLM</t>
  </si>
  <si>
    <t>State of Delaware Historic Markers Program</t>
  </si>
  <si>
    <t>Loockerman &amp; Federal Streets</t>
  </si>
  <si>
    <t>Richard Allen birthday: 2/14/1760</t>
  </si>
  <si>
    <t>https://archives.delaware.gov/delaware-historical-markers/bishop-richard-allen/</t>
  </si>
  <si>
    <t>https://archives.delaware.gov/wp-content/uploads/sites/156/2022/02/01_richard_allen_marker.jpg</t>
  </si>
  <si>
    <t xml:space="preserve">KC-044 </t>
  </si>
  <si>
    <t>St. Jones Neck: Site of Settlement in the 1660's</t>
  </si>
  <si>
    <t>3/2/2022 - CM-S
9/16/2024 - CM-S</t>
  </si>
  <si>
    <t>10/1/2024 - VLM</t>
  </si>
  <si>
    <t>818 Kitts Hummock Road</t>
  </si>
  <si>
    <t>https://archives.delaware.gov/delaware-historical-markers/st-jones-neck-site-settlement-1660s/</t>
  </si>
  <si>
    <t>https://archives.delaware.gov/wp-content/uploads/sites/156/2019/06/kc-44-24.jpg</t>
  </si>
  <si>
    <t xml:space="preserve">KC-045 </t>
  </si>
  <si>
    <t>Delaware State College High School</t>
  </si>
  <si>
    <t>9/12/2022 - CM-S 12/30/2022 - DWC</t>
  </si>
  <si>
    <t>State of Delaware Division of Historical &amp; Cultural Affairs</t>
  </si>
  <si>
    <t>Student Health Center, Delaware State Univeristy</t>
  </si>
  <si>
    <t>https://archives.delaware.gov/delaware-historical-markers/delaware-state-college-high-school/</t>
  </si>
  <si>
    <t>https://archives.delaware.gov/wp-content/uploads/sites/156/2019/06/kc_045.jpg</t>
  </si>
  <si>
    <t xml:space="preserve">KC-046 </t>
  </si>
  <si>
    <t>Home of Judge Thomas White- Refuge of Francis Asbury</t>
  </si>
  <si>
    <t>1/15/2023 - CM-S
8/14/2024 - CM-S</t>
  </si>
  <si>
    <t>7/15/2025 - VLM</t>
  </si>
  <si>
    <t>38.94702</t>
  </si>
  <si>
    <t>-75.71844</t>
  </si>
  <si>
    <t>1355 Whiteleysburg Road</t>
  </si>
  <si>
    <t>Harrington</t>
  </si>
  <si>
    <t>Reinstalled 8/20/2013. Damaged marker sent to Deldot for destruction, 11/2021.</t>
  </si>
  <si>
    <t>https://archives.delaware.gov/delaware-historical-markers/home-judge-thomas-white-refuge-francis-asbury/</t>
  </si>
  <si>
    <t>https://archives.delaware.gov/wp-content/uploads/sites/156/2019/06/kc-46-25.jpg</t>
  </si>
  <si>
    <t xml:space="preserve">KC-047 </t>
  </si>
  <si>
    <t>Clark's Corner</t>
  </si>
  <si>
    <t>1/6/2023 - CM-S
1/3/2024-CM-S
8/14/2024 - CM-S</t>
  </si>
  <si>
    <t>3/8/2024 - VLM</t>
  </si>
  <si>
    <t>4 Mechanic Street</t>
  </si>
  <si>
    <t>Replaced 2022</t>
  </si>
  <si>
    <t>https://archives.delaware.gov/delaware-historical-markers/clarks-corner/</t>
  </si>
  <si>
    <t>https://archives.delaware.gov/wp-content/uploads/sites/156/2024/08/kc-47-24.jpg</t>
  </si>
  <si>
    <t xml:space="preserve">KC-048 </t>
  </si>
  <si>
    <t>Harrington (East Side)</t>
  </si>
  <si>
    <t>Rep. George R "Bobby" Quillen</t>
  </si>
  <si>
    <t>7047 Milford Harrington Highway</t>
  </si>
  <si>
    <t xml:space="preserve">KC-049 </t>
  </si>
  <si>
    <t>Harrington (West Side)</t>
  </si>
  <si>
    <t>4/20/2022 - CM-S
2/6/2024 - CM-S
8/14/2024 - CM-S</t>
  </si>
  <si>
    <t>Poor</t>
  </si>
  <si>
    <t>2/14/2025 - VLM</t>
  </si>
  <si>
    <t>8358 Vernon Road</t>
  </si>
  <si>
    <t>When marker is replaced, need to find new location.</t>
  </si>
  <si>
    <t>https://archives.delaware.gov/delaware-historical-markers/harrington/</t>
  </si>
  <si>
    <t>https://archives.delaware.gov/wp-content/uploads/sites/156/2019/06/kc-049-25.jpg</t>
  </si>
  <si>
    <t xml:space="preserve">KC-050 </t>
  </si>
  <si>
    <t>4/19/2022 - CM-S
6/4/2024 - CM-S</t>
  </si>
  <si>
    <t>6/10/2024 - VLM</t>
  </si>
  <si>
    <t>357 Voshells Mill Star Hill Road</t>
  </si>
  <si>
    <t>https://archives.delaware.gov/delaware-historical-markers/star-hill-ame-church/</t>
  </si>
  <si>
    <t>https://archives.delaware.gov/wp-content/uploads/sites/156/2019/06/kc-50-24.jpg</t>
  </si>
  <si>
    <t xml:space="preserve">KC-051 </t>
  </si>
  <si>
    <t>Delaware State Fair</t>
  </si>
  <si>
    <t>9/12/2022 - CM-S</t>
  </si>
  <si>
    <t>Holloway Street (Inside Delaware State Fairgrounds)</t>
  </si>
  <si>
    <t>Next Delaware State Fair scheduled for July 17-26, 2025</t>
  </si>
  <si>
    <t>https://archives.delaware.gov/delaware-historical-markers/delaware-state-fair/</t>
  </si>
  <si>
    <t>https://archives.delaware.gov/wp-content/uploads/sites/156/2019/06/kc-51-24.jpg</t>
  </si>
  <si>
    <t xml:space="preserve">KC-052 </t>
  </si>
  <si>
    <t>Thomas' Chapel (Chapeltown)</t>
  </si>
  <si>
    <t>1/6/2023 - CM-S
7/18/2024 - CM-S</t>
  </si>
  <si>
    <t xml:space="preserve">2810 Westville Road </t>
  </si>
  <si>
    <t>Needs repaint</t>
  </si>
  <si>
    <t>https://archives.delaware.gov/delaware-historical-markers/thomas-chapel-chapeltown/</t>
  </si>
  <si>
    <t>https://archives.delaware.gov/wp-content/uploads/sites/156/2019/06/kc-52-25.jpg</t>
  </si>
  <si>
    <t xml:space="preserve">KC-053 </t>
  </si>
  <si>
    <t>Byfield</t>
  </si>
  <si>
    <t>3/2/2022 - CM-S
4/25/2024 - CM-S</t>
  </si>
  <si>
    <t>Rep. Gerald Buckworth / Rep. Jane Maroney</t>
  </si>
  <si>
    <t>39.11772</t>
  </si>
  <si>
    <t>-75.44461</t>
  </si>
  <si>
    <t>998 Bergold Lane</t>
  </si>
  <si>
    <t>Hit and destroyed 2003 / Replaced 2005</t>
  </si>
  <si>
    <t>https://archives.delaware.gov/delaware-historical-markers/byfield/</t>
  </si>
  <si>
    <t>https://archives.delaware.gov/wp-content/uploads/sites/156/2019/06/kc-53-2.jpg</t>
  </si>
  <si>
    <t xml:space="preserve">KC-054 </t>
  </si>
  <si>
    <t>Town of Felton</t>
  </si>
  <si>
    <t>6/6/2023 - CM-S
12/26/2024 - CM-S
 12/29/2024 - VLM</t>
  </si>
  <si>
    <t>12/4/2025 - VLM</t>
  </si>
  <si>
    <t>West Main Street &amp; East Railroad Avenue</t>
  </si>
  <si>
    <t>https://archives.delaware.gov/delaware-historical-markers/town-of-felton/</t>
  </si>
  <si>
    <t>https://archives.delaware.gov/wp-content/uploads/sites/156/2025/12/kc-54-25.jpg</t>
  </si>
  <si>
    <t xml:space="preserve">KC-055 </t>
  </si>
  <si>
    <t>Brecknock</t>
  </si>
  <si>
    <t>11/17/2022 - CM-S
6/4/2024 - CM-S</t>
  </si>
  <si>
    <t>7/28/2025 - VLM</t>
  </si>
  <si>
    <t>Rep. Gerald Buckworth</t>
  </si>
  <si>
    <t>80 Old Camden Road</t>
  </si>
  <si>
    <t>https://archives.delaware.gov/delaware-historical-markers/brecknock/</t>
  </si>
  <si>
    <t>https://archives.delaware.gov/wp-content/uploads/sites/156/2019/06/kc-55-25.jpg</t>
  </si>
  <si>
    <t xml:space="preserve">KC-056 </t>
  </si>
  <si>
    <t>Site of Old Asbury Methodist Church (Smyrna)</t>
  </si>
  <si>
    <t>4/20/2022 - CM-S 12/13/2022 - DWC 9/14/2023 - CM-S
5/30/2024 - CM-S</t>
  </si>
  <si>
    <t>3/25/2024 - VLM</t>
  </si>
  <si>
    <t>Rep. Bruce C. Ennis</t>
  </si>
  <si>
    <t>126 N. Delaware Street</t>
  </si>
  <si>
    <t>Allen McLane's name is misspelled 'Allan' on the marker. When slated for replacement update spelling.</t>
  </si>
  <si>
    <t>https://archives.delaware.gov/delaware-historical-markers/site-old-asbury-methodist-church/</t>
  </si>
  <si>
    <t>https://archives.delaware.gov/wp-content/uploads/sites/156/2019/06/kc-56-3.jpg</t>
  </si>
  <si>
    <t xml:space="preserve">KC-057 </t>
  </si>
  <si>
    <t>Geographic Center of Delaware</t>
  </si>
  <si>
    <t>4/19/2022 - CM-S 6/6/2023 - CM-S
8/14/2024 - CM-S</t>
  </si>
  <si>
    <t>Geography</t>
  </si>
  <si>
    <t>8/18/2025 - VLM</t>
  </si>
  <si>
    <t>Rep. George R."Bobby" Quillen</t>
  </si>
  <si>
    <t>1345 Midstate Road</t>
  </si>
  <si>
    <t>Marker needs to be straightened.</t>
  </si>
  <si>
    <t>https://archives.delaware.gov/delaware-historical-markers/geographic-center-delaware/</t>
  </si>
  <si>
    <t>https://archives.delaware.gov/wp-content/uploads/sites/156/2019/06/kc-57-25.jpg</t>
  </si>
  <si>
    <t xml:space="preserve">KC-058 </t>
  </si>
  <si>
    <t>Immigrant Jewish Farmers</t>
  </si>
  <si>
    <t>2/27/2023 - CM-S 7/20/2023 - CM-S</t>
  </si>
  <si>
    <t>5/27/2025 - VLM</t>
  </si>
  <si>
    <t>154 Kersey Road</t>
  </si>
  <si>
    <t>Viola</t>
  </si>
  <si>
    <t>Marker post needs replaced - split in 2023.</t>
  </si>
  <si>
    <t>https://archives.delaware.gov/delaware-historical-markers/immigrant-jewish-farms/</t>
  </si>
  <si>
    <t>https://archives.delaware.gov/wp-content/uploads/sites/156/2019/06/kc-35-25.jpg</t>
  </si>
  <si>
    <t xml:space="preserve">KC-059 </t>
  </si>
  <si>
    <t>Town of Clayton</t>
  </si>
  <si>
    <t>12/19/2022 - DWC 8/22/2023 - CM-S
5/30/2024 - CM-S
12/23/2024 - CM-S
12/26/2024 - CM-S</t>
  </si>
  <si>
    <t>300 Main Street</t>
  </si>
  <si>
    <t>https://archives.delaware.gov/delaware-historical-markers/clayton/</t>
  </si>
  <si>
    <t>https://archives.delaware.gov/wp-content/uploads/sites/156/2019/06/kc-59-2.jpg</t>
  </si>
  <si>
    <t xml:space="preserve">KC-060 </t>
  </si>
  <si>
    <t>Loockerman Hall</t>
  </si>
  <si>
    <t xml:space="preserve"> 1/20/2023 - DWC   1/2/2024-CM-S</t>
  </si>
  <si>
    <t>Loockerman Hall, 1200 N. Dupont Highway</t>
  </si>
  <si>
    <t>Bronze Pole</t>
  </si>
  <si>
    <t xml:space="preserve">Healy </t>
  </si>
  <si>
    <t>https://archives.delaware.gov/delaware-historical-markers/loockerman-hall/</t>
  </si>
  <si>
    <t>https://archives.delaware.gov/wp-content/uploads/sites/156/2019/06/kc-60-2.jpg</t>
  </si>
  <si>
    <t xml:space="preserve">KC-060A </t>
  </si>
  <si>
    <t>Home of Allen McLane</t>
  </si>
  <si>
    <t>4/21/2022 - CM-S  9/14/2023 - CM-S
5/30/2024 - CM-S</t>
  </si>
  <si>
    <t>10/6/2023-VLM</t>
  </si>
  <si>
    <t>Rep. Bruce C. Ennis / Sen. James T. Vaughn</t>
  </si>
  <si>
    <t>40 West Mount Vernon Street</t>
  </si>
  <si>
    <t>https://archives.delaware.gov/delaware-historical-markers/home-of-allen-mclane/</t>
  </si>
  <si>
    <t>https://archives.delaware.gov/wp-content/uploads/sites/156/2019/06/kc-60a.jpg</t>
  </si>
  <si>
    <t xml:space="preserve">KC-061 </t>
  </si>
  <si>
    <t>First Rural Free Delivery Route</t>
  </si>
  <si>
    <t>1/6/2023 - CM-S   1/3/2024-CM-S
8/14/2024 - CM-S</t>
  </si>
  <si>
    <t>1/2/2024 - VLM</t>
  </si>
  <si>
    <t>-75.57799</t>
  </si>
  <si>
    <t>2 Commerce Street</t>
  </si>
  <si>
    <t>Harrington Post Office</t>
  </si>
  <si>
    <t>https://archives.delaware.gov/delaware-historical-markers/first-rural-free-delivery-route/</t>
  </si>
  <si>
    <t>https://archives.delaware.gov/wp-content/uploads/sites/156/2019/06/kc-61-2.jpg</t>
  </si>
  <si>
    <t xml:space="preserve">KC-061A </t>
  </si>
  <si>
    <t>Todd's Chapel United Methodist Church</t>
  </si>
  <si>
    <t>4/19/2022 - CM-S 7/6/2023 - CM-S</t>
  </si>
  <si>
    <t>102 Todds Chapel Road</t>
  </si>
  <si>
    <t>Greenwood</t>
  </si>
  <si>
    <t>https://archives.delaware.gov/delaware-historical-markers/todds-chapel-united-methodist-church/</t>
  </si>
  <si>
    <t>https://archives.delaware.gov/wp-content/uploads/sites/156/2019/06/kc-61a-2.jpg</t>
  </si>
  <si>
    <t xml:space="preserve">KC-062 </t>
  </si>
  <si>
    <t>Caesar Rodney</t>
  </si>
  <si>
    <t>11/14/2022 - CM-S
6/4/2024 - CM-S</t>
  </si>
  <si>
    <t>Rep. Gerald "Jerry" A. Buckworth</t>
  </si>
  <si>
    <t>239 Old North Road</t>
  </si>
  <si>
    <t>https://archives.delaware.gov/delaware-historical-markers/caesar-rodney-kc62/</t>
  </si>
  <si>
    <t>https://archives.delaware.gov/wp-content/uploads/sites/156/2019/06/KC_062.jpeg</t>
  </si>
  <si>
    <t xml:space="preserve">KC-063 </t>
  </si>
  <si>
    <t>Town of Wyoming</t>
  </si>
  <si>
    <t>4/19/2022 - CM-S 
6/4/2024 - CM-S</t>
  </si>
  <si>
    <t>10/2/2025 - VLM</t>
  </si>
  <si>
    <t>1 North Railroad Avenue</t>
  </si>
  <si>
    <t>Wyoming</t>
  </si>
  <si>
    <t xml:space="preserve"> Town of Wyoming 302-697-2966</t>
  </si>
  <si>
    <t>Replaced poor Healy bronze with aluminum 9/6/2024.</t>
  </si>
  <si>
    <t>2000, 2024</t>
  </si>
  <si>
    <t>https://archives.delaware.gov/delaware-historical-markers/town-of-wyoming/</t>
  </si>
  <si>
    <t>https://archives.delaware.gov/wp-content/uploads/sites/156/2025/10/kc-63-25.jpg</t>
  </si>
  <si>
    <t xml:space="preserve">KC-064 </t>
  </si>
  <si>
    <t>Bethel Methodist Church (Andrewsville)</t>
  </si>
  <si>
    <t>4/19/2022 - CM-S 7/7/2023 - CM-S 12/13</t>
  </si>
  <si>
    <t>12/11/2023 - VLM</t>
  </si>
  <si>
    <t>2612 Andrewville Road</t>
  </si>
  <si>
    <t>Andrewville Historical Society / Bethel Church</t>
  </si>
  <si>
    <t xml:space="preserve"> 302-222-6505</t>
  </si>
  <si>
    <t>https://archives.delaware.gov/delaware-historical-markers/bethel-methodist-church/</t>
  </si>
  <si>
    <t>https://archives.delaware.gov/wp-content/uploads/sites/156/2019/06/kc-64-2.jpg</t>
  </si>
  <si>
    <t xml:space="preserve">KC-065 </t>
  </si>
  <si>
    <t>Site of Milford's First Methodist Church</t>
  </si>
  <si>
    <t>3/15/2022 - CM-S
1/23/2024 - CM-S
 5/22/2024 - CM-S</t>
  </si>
  <si>
    <t>12/22/2025 - VLM</t>
  </si>
  <si>
    <t>Sen. F. Gary Simpson</t>
  </si>
  <si>
    <t>38.91618</t>
  </si>
  <si>
    <t>301 North Street</t>
  </si>
  <si>
    <t>https://archives.delaware.gov/delaware-historical-markers/milfords-first-methodist-church/</t>
  </si>
  <si>
    <t>https://archives.delaware.gov/wp-content/uploads/sites/156/2025/12/kc-65-25.jpg</t>
  </si>
  <si>
    <t xml:space="preserve">KC-066 </t>
  </si>
  <si>
    <t>Town of Kenton</t>
  </si>
  <si>
    <t>4/26/2023 - CM-S
7/18/2024 - CM-S</t>
  </si>
  <si>
    <t>3/4/2024 - VLM</t>
  </si>
  <si>
    <t>265 South Main Street</t>
  </si>
  <si>
    <t>Kenton</t>
  </si>
  <si>
    <t>Installed 2000 / Refurbished 2021.</t>
  </si>
  <si>
    <t>https://archives.delaware.gov/delaware-historical-markers/town-of-kenton/</t>
  </si>
  <si>
    <t>https://archives.delaware.gov/wp-content/uploads/sites/156/2019/06/kc-66-2.jpg</t>
  </si>
  <si>
    <t xml:space="preserve">KC-067 </t>
  </si>
  <si>
    <t>First in the World Post #14 American Legion Ambulance Service</t>
  </si>
  <si>
    <t>12/19/2022 - DWC
5/30/2024 - CM-S</t>
  </si>
  <si>
    <t xml:space="preserve">Sen. Bruce C. Ennis; Sen. Dave G. Lawson; Rep. William "Bill" Bush; Rep. William J. Carson, Jr; Rep. Jeffrey N. "Jeff"  Spiegelman </t>
  </si>
  <si>
    <t>39.294375</t>
  </si>
  <si>
    <t>-75.622426</t>
  </si>
  <si>
    <t>900 Smyrna Clayton Blvd</t>
  </si>
  <si>
    <t>See website finalization form for additional details.</t>
  </si>
  <si>
    <t>2001, 2020</t>
  </si>
  <si>
    <t>https://archives.delaware.gov/delaware-historical-markers/first-in-the-world-post-14-american-legion-ambulance-service/</t>
  </si>
  <si>
    <t>https://archives.delaware.gov/wp-content/uploads/sites/156/2022/04/KC_67.jpg</t>
  </si>
  <si>
    <t xml:space="preserve">KC-068 </t>
  </si>
  <si>
    <t>Hangar 1301</t>
  </si>
  <si>
    <t>4/25/2024 - CM-S</t>
  </si>
  <si>
    <t>6/21/2024 - VLM</t>
  </si>
  <si>
    <t>1301 Heritage Road</t>
  </si>
  <si>
    <t>Air Mobility Command Museum</t>
  </si>
  <si>
    <t>https://archives.delaware.gov/delaware-historical-markers/hangar-1301/</t>
  </si>
  <si>
    <t>https://archives.delaware.gov/wp-content/uploads/sites/156/2019/06/kc-68-24.jpg</t>
  </si>
  <si>
    <t xml:space="preserve">KC-069 </t>
  </si>
  <si>
    <t>Mason-Dixon Crownstone</t>
  </si>
  <si>
    <t>09/19/2022 - CM-S
9/14/2023 - CM-S
7/18/2024 - CM-S
3/19/2024 - CM-S</t>
  </si>
  <si>
    <t>11/19/2025 - VLM</t>
  </si>
  <si>
    <t>Rep. Pamela "Pam" J. Thornburg</t>
  </si>
  <si>
    <t>39.11261</t>
  </si>
  <si>
    <t>-75.74536</t>
  </si>
  <si>
    <t>257 Halltown Road</t>
  </si>
  <si>
    <t>1970, 2004</t>
  </si>
  <si>
    <t>https://archives.delaware.gov/delaware-historical-markers/mason-dixon-crownstone/</t>
  </si>
  <si>
    <t>https://archives.delaware.gov/wp-content/uploads/sites/156/2025/11/kc-69-25.jpg</t>
  </si>
  <si>
    <t xml:space="preserve">KC-070 </t>
  </si>
  <si>
    <t>Site of Dover's First Methodist Church</t>
  </si>
  <si>
    <t>4/4/2024 - CM-S
11/4/2024 - CM-S</t>
  </si>
  <si>
    <t>5/28/2024 - VLM</t>
  </si>
  <si>
    <t>39.15620</t>
  </si>
  <si>
    <t>-75.52919</t>
  </si>
  <si>
    <t>255 South Queen Street</t>
  </si>
  <si>
    <t>https://archives.delaware.gov/delaware-historical-markers/dovers-first-methodist-church/</t>
  </si>
  <si>
    <t>https://archives.delaware.gov/wp-content/uploads/sites/156/2019/06/kc-70-2024.jpg</t>
  </si>
  <si>
    <t xml:space="preserve">KC-071 </t>
  </si>
  <si>
    <t>Wesley College</t>
  </si>
  <si>
    <t>10/18/2023 - CM-S
8/27/2024 - CM-S</t>
  </si>
  <si>
    <t>11/7/2023 - VLM</t>
  </si>
  <si>
    <t>Sen. John C. Still &amp; Rep. Donna Stone</t>
  </si>
  <si>
    <t>101 North State Street</t>
  </si>
  <si>
    <t xml:space="preserve">https://archives.delaware.gov/delaware-historical-markers/wesley-college/ </t>
  </si>
  <si>
    <t xml:space="preserve">https://archives.delaware.gov/wp-content/uploads/sites/156/2019/06/kc_71-2.jpg </t>
  </si>
  <si>
    <t xml:space="preserve">KC-072 </t>
  </si>
  <si>
    <t>6/6/2023 - CM-S
6/4/2024 - CM-S
12/26/2025 - CM-S</t>
  </si>
  <si>
    <t>6/17/2025 - VLM</t>
  </si>
  <si>
    <t>Rep. Gerald A. "Jerry" Buckworth</t>
  </si>
  <si>
    <t>261 E. Camden Wyoming Avenue</t>
  </si>
  <si>
    <t>https://archives.delaware.gov/delaware-historical-markers/camden-72/</t>
  </si>
  <si>
    <t>https://archives.delaware.gov/wp-content/uploads/sites/156/2019/06/kc-72-25.jpg</t>
  </si>
  <si>
    <t xml:space="preserve">KC-073 </t>
  </si>
  <si>
    <t>Camden Friends Meeting (Burial Place of John Hunn)</t>
  </si>
  <si>
    <t>4/12/2022 - CM-S
4/22/2024 - CM-S
6/4/2024 - CM-S</t>
  </si>
  <si>
    <t>5/6/2025 - VLM</t>
  </si>
  <si>
    <t>Sen. Margaret Rose Henry</t>
  </si>
  <si>
    <t>39.11462</t>
  </si>
  <si>
    <t>-75.54770</t>
  </si>
  <si>
    <t>122 E. Camden Wyoming Avenue</t>
  </si>
  <si>
    <t>https://archives.delaware.gov/delaware-historical-markers/camden-friends-meeting-burial-place-of-john-hunn/</t>
  </si>
  <si>
    <t>https://archives.delaware.gov/wp-content/uploads/sites/156/2019/06/kc-73-25.jpg</t>
  </si>
  <si>
    <t xml:space="preserve">KC-074 </t>
  </si>
  <si>
    <t>Site of Blackiston Methodist Church</t>
  </si>
  <si>
    <t>1/22/2024 - CM-S
5/30/2024 - CM-S</t>
  </si>
  <si>
    <t>39.262365</t>
  </si>
  <si>
    <t>-75.737357</t>
  </si>
  <si>
    <t>2099 Blackiston Church Road</t>
  </si>
  <si>
    <t>https://archives.delaware.gov/delaware-historical-markers/blackiston-methodist-church/</t>
  </si>
  <si>
    <t>https://archives.delaware.gov/wp-content/uploads/sites/156/2019/06/kc-74-25.jpg</t>
  </si>
  <si>
    <t xml:space="preserve">KC-075 </t>
  </si>
  <si>
    <t xml:space="preserve"> 1/20/2023 - DWC 5/4/2023 - CM-S</t>
  </si>
  <si>
    <t>Rep. Nancy Wagner</t>
  </si>
  <si>
    <t>34 Carver Road</t>
  </si>
  <si>
    <t>https://archives.delaware.gov/delaware-historical-markers/william-w-m-henry-comprehensive-high-school/</t>
  </si>
  <si>
    <t>https://archives.delaware.gov/wp-content/uploads/sites/156/2019/06/kc-75.jpg</t>
  </si>
  <si>
    <t xml:space="preserve">KC-076 </t>
  </si>
  <si>
    <t>Golden Fleece Tavern</t>
  </si>
  <si>
    <t>3/23/2022 - CM-S 11/8/2023 - CM-S
9/17/2024 - CM-S
1/9/2025 - CM-S</t>
  </si>
  <si>
    <t>11/20/2023 - VLM</t>
  </si>
  <si>
    <t>The Secretary of State Office, 2002</t>
  </si>
  <si>
    <t>1 The Green</t>
  </si>
  <si>
    <t>Bronze Wall Mount</t>
  </si>
  <si>
    <t>Healy</t>
  </si>
  <si>
    <t>https://archives.delaware.gov/delaware-historical-markers/golden-fleece-tavern/</t>
  </si>
  <si>
    <t>https://archives.delaware.gov/wp-content/uploads/sites/156/2019/06/kc-76-2.jpg</t>
  </si>
  <si>
    <t xml:space="preserve">KC-077 </t>
  </si>
  <si>
    <t>Smyrna Opera House and Old Town Hall</t>
  </si>
  <si>
    <t xml:space="preserve"> 12/5/2022 - DWC 11/28/2023 - CM-S
5/30/2024 - CM-S</t>
  </si>
  <si>
    <t>6/3/2024 - VLM</t>
  </si>
  <si>
    <t>101 S. Main Street</t>
  </si>
  <si>
    <t>mounted on wall</t>
  </si>
  <si>
    <t xml:space="preserve">https://archives.delaware.gov/delaware-historical-markers/smyrna-opera-house-and-town-hall/ </t>
  </si>
  <si>
    <t>https://archives.delaware.gov/wp-content/uploads/sites/156/2019/06/kc-77-24.jpg</t>
  </si>
  <si>
    <t xml:space="preserve">KC-078 </t>
  </si>
  <si>
    <t>Sgt. John B. Maberry</t>
  </si>
  <si>
    <t>9/14/2023/ CM-S 2/9/2024 - CM-S 6/14/2024 - CM-S
5/30/2024 - CM-S</t>
  </si>
  <si>
    <t>111 Glenwood Avenue</t>
  </si>
  <si>
    <t>https://archives.delaware.gov/delaware-historical-markers/sgt-john-b-maberry/</t>
  </si>
  <si>
    <t>https://archives.delaware.gov/wp-content/uploads/sites/156/2019/06/kc-78-25.jpg</t>
  </si>
  <si>
    <t xml:space="preserve">KC-079 </t>
  </si>
  <si>
    <t>Wesley United Methodist Church</t>
  </si>
  <si>
    <t>3/23/2022 - CM-S 3/20/2024 - CM-S</t>
  </si>
  <si>
    <t>2/18/2025 - VLM</t>
  </si>
  <si>
    <t>223 S. State Street</t>
  </si>
  <si>
    <t>https://archives.delaware.gov/delaware-historical-markers/wesley-united-methodist-church-79/</t>
  </si>
  <si>
    <t>https://archives.delaware.gov/wp-content/uploads/sites/156/2019/06/kc-079-25.jpg</t>
  </si>
  <si>
    <t xml:space="preserve">KC-080 </t>
  </si>
  <si>
    <t>Kitts Hummock</t>
  </si>
  <si>
    <t>4/20/2022 - CM-S</t>
  </si>
  <si>
    <t>5/13/2022 - TS</t>
  </si>
  <si>
    <t>Sen. John C. Still</t>
  </si>
  <si>
    <t>3076 Kitts Hummock Road</t>
  </si>
  <si>
    <t>https://archives.delaware.gov/delaware-historical-markers/kitts-hummock/</t>
  </si>
  <si>
    <t>https://archives.delaware.gov/wp-content/uploads/sites/156/2025/05/kc-80-25.jpg</t>
  </si>
  <si>
    <t xml:space="preserve">KC-081 </t>
  </si>
  <si>
    <t>Site of Duck Creek Presbyterian Church</t>
  </si>
  <si>
    <t>4/3/2022 - CM-S
5/30/2024 - CM-S</t>
  </si>
  <si>
    <t>2/19/2025 - VLM</t>
  </si>
  <si>
    <t>299 Main Street</t>
  </si>
  <si>
    <t>https://archives.delaware.gov/delaware-historical-markers/duck-creek-presbyterian-church/</t>
  </si>
  <si>
    <t>https://archives.delaware.gov/wp-content/uploads/sites/156/2019/06/kc-81-25.jpg</t>
  </si>
  <si>
    <t xml:space="preserve">KC-082 </t>
  </si>
  <si>
    <t>Morning Star Institutional Church of God in Christ, Inc.</t>
  </si>
  <si>
    <t>4/19/2022 - CM-S
4/22/2024 - CM-S
6/4/2024 - CM-S</t>
  </si>
  <si>
    <t>1/8/2024 - VLM</t>
  </si>
  <si>
    <t>225 East Camden Wyoming Avenue</t>
  </si>
  <si>
    <t>https://archives.delaware.gov/delaware-historical-markers/morning-star-institutional-church-of-god-in-christ-inc/</t>
  </si>
  <si>
    <t>https://archives.delaware.gov/wp-content/uploads/sites/156/2019/06/kc-82-2-.jpg</t>
  </si>
  <si>
    <t xml:space="preserve">KC-083 </t>
  </si>
  <si>
    <t>Cheswold Volunteer Fire Company</t>
  </si>
  <si>
    <t>2/7/2023  - CM-S 4/5/2023 - CM-S</t>
  </si>
  <si>
    <t>7/10/2025 - VLM</t>
  </si>
  <si>
    <t>Sen. Nancy W. Cook</t>
  </si>
  <si>
    <t>371 Main Street</t>
  </si>
  <si>
    <t>https://archives.delaware.gov/delaware-historical-markers/cheswold-volunteer-fire-company/</t>
  </si>
  <si>
    <t>https://archives.delaware.gov/wp-content/uploads/sites/156/2019/06/kc-83-25.jpg</t>
  </si>
  <si>
    <t xml:space="preserve">KC-084 </t>
  </si>
  <si>
    <t>Site of Green Pottery</t>
  </si>
  <si>
    <t>4/20/2022 - CM-S 6/14/2024 - CM-S
5/30/2024 - CM-S</t>
  </si>
  <si>
    <t>112 N. Main Street</t>
  </si>
  <si>
    <t>https://archives.delaware.gov/delaware-historical-markers/green-pottery/</t>
  </si>
  <si>
    <t>https://archives.delaware.gov/wp-content/uploads/sites/156/2019/06/KC_084.jpg</t>
  </si>
  <si>
    <t xml:space="preserve">KC-085 </t>
  </si>
  <si>
    <t>The Barracks</t>
  </si>
  <si>
    <t>4/20/2022 - CM-S  6/14/2024 - CM-S
5/30/2024 - CM-S</t>
  </si>
  <si>
    <t>4/14/2025 - VLM</t>
  </si>
  <si>
    <t>11 S. Main Street</t>
  </si>
  <si>
    <t>https://archives.delaware.gov/delaware-historical-markers/the-barracks/</t>
  </si>
  <si>
    <t>https://archives.delaware.gov/wp-content/uploads/sites/156/2019/06/kc_085.jpg</t>
  </si>
  <si>
    <t xml:space="preserve">KC-086 </t>
  </si>
  <si>
    <t>Former Site of ILC Dover</t>
  </si>
  <si>
    <t>3/11/2024 - CM-S
11/4/2024 - CM-S</t>
  </si>
  <si>
    <t>3/15/2024 - VLM</t>
  </si>
  <si>
    <t>350 Pear Street</t>
  </si>
  <si>
    <t>https://archives.delaware.gov/delaware-historical-markers/former-site-of-ilc-dover/</t>
  </si>
  <si>
    <t>https://archives.delaware.gov/wp-content/uploads/sites/156/2019/06/kc-086-24.jpg</t>
  </si>
  <si>
    <t xml:space="preserve">KC-087 </t>
  </si>
  <si>
    <t>Calvary Baptist Church</t>
  </si>
  <si>
    <t>2/27/2024 - CM-S
11/4/2024 CM-S</t>
  </si>
  <si>
    <t>5/15/2024 - VLM</t>
  </si>
  <si>
    <t>410 Fulton Street</t>
  </si>
  <si>
    <t>https://archives.delaware.gov/delaware-historical-markers/calvary-baptist-church/</t>
  </si>
  <si>
    <t>https://archives.delaware.gov/wp-content/uploads/sites/156/2019/06/kc-87-25.jpg</t>
  </si>
  <si>
    <t xml:space="preserve">KC-088 </t>
  </si>
  <si>
    <t>Booker T. Washington School</t>
  </si>
  <si>
    <t>1/20/2023 - DWC 5/8/2023 - CM-S</t>
  </si>
  <si>
    <t>901 Forest Street</t>
  </si>
  <si>
    <t>Marker repainted in 2021 by Kent Signs</t>
  </si>
  <si>
    <t>https://archives.delaware.gov/delaware-historical-markers/booker-t-washington-school-kc88/</t>
  </si>
  <si>
    <t>https://archives.delaware.gov/wp-content/uploads/sites/156/2019/06/kc-88-24.jpg</t>
  </si>
  <si>
    <t xml:space="preserve">KC-089 </t>
  </si>
  <si>
    <t>The Capitol Theater</t>
  </si>
  <si>
    <t>3/23/2022 - CM-S
1/16/2024 - CM-S
 3/20/2024 - CM-S</t>
  </si>
  <si>
    <t>12/2/2024 - VLM</t>
  </si>
  <si>
    <t>Rep. Donna Stone &amp; Sen. Nancy W. Cook</t>
  </si>
  <si>
    <t>241 S. State Street</t>
  </si>
  <si>
    <t>https://archives.delaware.gov/delaware-historical-markers/capitol-theater/</t>
  </si>
  <si>
    <t>https://archives.delaware.gov/wp-content/uploads/sites/156/2019/06/kc-89-24.jpg</t>
  </si>
  <si>
    <t xml:space="preserve">KC-090 </t>
  </si>
  <si>
    <t>Murderkill / Motherkiln Friends Meeting</t>
  </si>
  <si>
    <t>8/10/2022 - CM-S 
6/4/2024 - CM-S
1/9/2025 - CM-S</t>
  </si>
  <si>
    <t>12/15/2023 - VLM</t>
  </si>
  <si>
    <t>39.07574</t>
  </si>
  <si>
    <t>-75.47930</t>
  </si>
  <si>
    <t>5165 S. State Street</t>
  </si>
  <si>
    <t>Magnolia</t>
  </si>
  <si>
    <t>Bronze replaced / installed 8/10/2022</t>
  </si>
  <si>
    <t>2005, 2022</t>
  </si>
  <si>
    <t xml:space="preserve">https://archives.delaware.gov/delaware-historical-markers/murderkill-motherkiln-friends-meeting/ </t>
  </si>
  <si>
    <t xml:space="preserve">https://archives.delaware.gov/wp-content/uploads/sites/156/2019/06/kc-090-2.jpg </t>
  </si>
  <si>
    <t xml:space="preserve">KC-091 </t>
  </si>
  <si>
    <t>Warner Mifflin 1745-1798</t>
  </si>
  <si>
    <t>39.07577</t>
  </si>
  <si>
    <t>-75.47932</t>
  </si>
  <si>
    <t>Replaced / installed 8/10/2022 - Note -the order of KC-90 &amp; KC-91 was revised to place the Burying Ground marker beside the sign for the cemetery. (Looking at markers from State Street -- left to right - KC-91 / KC-90). Missing line since Mifflin removed in 1937 to Camden Monthly Meeting Burial Ground. *Marker ends with W.M. being buried here but he was moved to Camden Friends (error)</t>
  </si>
  <si>
    <t>https://archives.delaware.gov/delaware-historical-markers/warner-mifflin/</t>
  </si>
  <si>
    <t>https://archives.delaware.gov/wp-content/uploads/sites/156/2019/06/kc-91-25.jpg</t>
  </si>
  <si>
    <t xml:space="preserve">KC-092 </t>
  </si>
  <si>
    <t>Parson Thorne Mansion (Silver Hill)</t>
  </si>
  <si>
    <t>3/15/2022 - CM-S 11/6/2023 - CM-S 12/19/2023 - CM-S</t>
  </si>
  <si>
    <t>11/4/2024 - VLM</t>
  </si>
  <si>
    <t>38.91367</t>
  </si>
  <si>
    <t>-75.43499</t>
  </si>
  <si>
    <t>501 NW Front Street</t>
  </si>
  <si>
    <t>Ralph Prettyman, Milford Historical Society 302-423-4805</t>
  </si>
  <si>
    <t>https://archives.delaware.gov/delaware-historical-markers/parson-thorne-mansion-silver-hill/</t>
  </si>
  <si>
    <t>https://archives.delaware.gov/wp-content/uploads/sites/156/2019/06/kc-092-24.jpg</t>
  </si>
  <si>
    <t xml:space="preserve">KC-093 </t>
  </si>
  <si>
    <t>Barratt's Chapel</t>
  </si>
  <si>
    <t>3/2/2022 - CM-S 1/06/2023 - CM-S
3/26/2024 - CM-S</t>
  </si>
  <si>
    <t>6362 Bay Road</t>
  </si>
  <si>
    <t>See KC-025</t>
  </si>
  <si>
    <t>https://archives.delaware.gov/delaware-historical-markers/barratts-chapel-93/</t>
  </si>
  <si>
    <t>https://archives.delaware.gov/wp-content/uploads/sites/156/2019/06/kc-93-2.jpg</t>
  </si>
  <si>
    <t xml:space="preserve">KC-094 </t>
  </si>
  <si>
    <t>Site of Kent County's First Presbyterian Church</t>
  </si>
  <si>
    <t>4/4/2023 - CM-S 10/4/2023 - CM-S</t>
  </si>
  <si>
    <t>10/14/2024 - VLM</t>
  </si>
  <si>
    <t>39.15609</t>
  </si>
  <si>
    <t>-75.52651</t>
  </si>
  <si>
    <t xml:space="preserve">316 South Governor’s Avenue </t>
  </si>
  <si>
    <t>https://archives.delaware.gov/delaware-historical-markers/kent-countys-first-presbyterian-church/</t>
  </si>
  <si>
    <t>https://archives.delaware.gov/wp-content/uploads/sites/156/2019/06/kc-094-24.jpg</t>
  </si>
  <si>
    <t xml:space="preserve">KC-095 </t>
  </si>
  <si>
    <t>Cow Marsh Primitive Baptist Church</t>
  </si>
  <si>
    <t>12/12/2022 - CM-S
2/29/2024 - CM-S</t>
  </si>
  <si>
    <t>1/28/2025 - VLM</t>
  </si>
  <si>
    <t>2955 Willow Grove Road</t>
  </si>
  <si>
    <t>Sandtown</t>
  </si>
  <si>
    <t>https://archives.delaware.gov/delaware-historical-markers/cow-marsh-primitive-baptist-church/</t>
  </si>
  <si>
    <t>https://archives.delaware.gov/wp-content/uploads/sites/156/2019/06/kc-95-25.jpg</t>
  </si>
  <si>
    <t xml:space="preserve">KC-096 </t>
  </si>
  <si>
    <t>3/23/2022 - CM-S 10/16/2023 - CM-S
12/26/2024 - CM-S
1/9/2025 - CM-S</t>
  </si>
  <si>
    <t>10/16/2023 - VLM</t>
  </si>
  <si>
    <t>121 Martin Luther King, Jr., Blvd</t>
  </si>
  <si>
    <t>https://archives.delaware.gov/delaware-historical-markers/delaware-public-archives/</t>
  </si>
  <si>
    <t>https://archives.delaware.gov/wp-content/uploads/sites/156/2025/12/kc-96-25.jpg</t>
  </si>
  <si>
    <t xml:space="preserve">KC-097 </t>
  </si>
  <si>
    <t>Cheney Clow's Rebellion</t>
  </si>
  <si>
    <t>39.20060278</t>
  </si>
  <si>
    <t>-75.74509167</t>
  </si>
  <si>
    <t xml:space="preserve">639 Sudlersville Road </t>
  </si>
  <si>
    <t>Hartly</t>
  </si>
  <si>
    <t>https://archives.delaware.gov/delaware-historical-markers/cheney-clows-rebellion/</t>
  </si>
  <si>
    <t>https://archives.delaware.gov/wp-content/uploads/sites/156/2019/06/kc-97.jpg</t>
  </si>
  <si>
    <t xml:space="preserve">KC-098 </t>
  </si>
  <si>
    <t>Union Lodge No. 7, A.F. &amp; A. M.</t>
  </si>
  <si>
    <t>4/19/2022 - CM-S
4/23/2023 - CM-S</t>
  </si>
  <si>
    <t>1478 Wyoming Mill Road</t>
  </si>
  <si>
    <t>https://archives.delaware.gov/delaware-historical-markers/union-lodge-no-7-a-f-a-m/</t>
  </si>
  <si>
    <t>https://archives.delaware.gov/wp-content/uploads/sites/156/2019/06/kc-98-25.jpg</t>
  </si>
  <si>
    <t xml:space="preserve">KC-099 </t>
  </si>
  <si>
    <t>Coming of the Railroad</t>
  </si>
  <si>
    <t>4/18/2023 - CM-S 9/5/2024 - VLM
6/4/2024 - CM-S</t>
  </si>
  <si>
    <t>9/24/2024 - VLM</t>
  </si>
  <si>
    <t>9 North Railroad Avenue</t>
  </si>
  <si>
    <t xml:space="preserve"> 302-697-2966</t>
  </si>
  <si>
    <t>2006, 2024</t>
  </si>
  <si>
    <t>https://archives.delaware.gov/delaware-historical-markers/coming-of-the-railroad/</t>
  </si>
  <si>
    <t>https://archives.delaware.gov/wp-content/uploads/sites/156/2019/06/kc-99-24.jpg</t>
  </si>
  <si>
    <t xml:space="preserve">KC-100 </t>
  </si>
  <si>
    <t>Site of Whatcoat Church</t>
  </si>
  <si>
    <t xml:space="preserve"> 2/27/2023 - CM-S 10/20/2023 - CM-S
6/4/2024 - CM-S</t>
  </si>
  <si>
    <t>10/23/2023 - VLM</t>
  </si>
  <si>
    <t>112 S. Main Street</t>
  </si>
  <si>
    <t>https://archives.delaware.gov/delaware-historical-markers/site-first-whatcoat-church/</t>
  </si>
  <si>
    <t>https://archives.delaware.gov/wp-content/uploads/sites/156/2019/06/kc-100-2.jpg</t>
  </si>
  <si>
    <t xml:space="preserve">KC-101 </t>
  </si>
  <si>
    <t>Christ Church (Mispillion Milford)</t>
  </si>
  <si>
    <t>3/15/2022 - CM-S 8/22/2023 - CM-S 5/22/2024- CM-S</t>
  </si>
  <si>
    <t>38.91562</t>
  </si>
  <si>
    <t>200 Church Street</t>
  </si>
  <si>
    <t>https://archives.delaware.gov/delaware-historical-markers/christ-church/</t>
  </si>
  <si>
    <t>https://archives.delaware.gov/wp-content/uploads/sites/156/2019/06/kc-101-24.jpg</t>
  </si>
  <si>
    <t xml:space="preserve">KC-102 </t>
  </si>
  <si>
    <t>School District #5</t>
  </si>
  <si>
    <t>9/10/2024 - VLM</t>
  </si>
  <si>
    <t>Sen. Bruce Ennis</t>
  </si>
  <si>
    <t>110 West South Street</t>
  </si>
  <si>
    <t>https://archives.delaware.gov/delaware-historical-markers/school-district-no-5/</t>
  </si>
  <si>
    <t>https://archives.delaware.gov/wp-content/uploads/sites/156/2019/06/kc-102-24.jpg</t>
  </si>
  <si>
    <t xml:space="preserve">KC-103 </t>
  </si>
  <si>
    <t>Thomas D. Clayton School</t>
  </si>
  <si>
    <t>4/20/2022 - CM-S 9/14/2023 - CM-S 6/14/2024 - CM-S
5/30/2024 - CM-S</t>
  </si>
  <si>
    <t>1/21/2025 - VLM</t>
  </si>
  <si>
    <t>Sen. Bruce C. Ennis</t>
  </si>
  <si>
    <t>-75.60125</t>
  </si>
  <si>
    <t>80 Monrovia Avenue</t>
  </si>
  <si>
    <t>https://archives.delaware.gov/delaware-historical-markers/thomas-d-clayton-school/</t>
  </si>
  <si>
    <t>https://archives.delaware.gov/wp-content/uploads/sites/156/2019/06/kc-103-25.jpg</t>
  </si>
  <si>
    <t xml:space="preserve">KC-104 </t>
  </si>
  <si>
    <t>Rescue House Of Prayer Temple of Deliverance</t>
  </si>
  <si>
    <t>2/27/2023 - CM-S  6/17/2023 - CM-S 06/15/2024 - VLM</t>
  </si>
  <si>
    <t>Rep. William Robert "Bobby" Outten</t>
  </si>
  <si>
    <t>203 Church Street</t>
  </si>
  <si>
    <t>Church/property sold Mar 2022. Property rezoned to single family dwelling Jun 2022. Construction still happening onsite Jan 2024.</t>
  </si>
  <si>
    <t>https://archives.delaware.gov/delaware-historical-markers/rescue-house-prayer-temple-deliverance/</t>
  </si>
  <si>
    <t>https://archives.delaware.gov/wp-content/uploads/sites/156/2019/06/kc-104-25.jpg</t>
  </si>
  <si>
    <t xml:space="preserve">KC-105 </t>
  </si>
  <si>
    <t>Felton Railroad Station</t>
  </si>
  <si>
    <t>2/27/2023 - CM-S 1/17/2024 - CM-S  12/26/2024 - CM-S</t>
  </si>
  <si>
    <t>1/23/2024 - VLM</t>
  </si>
  <si>
    <t>210 East Railroad Avenue</t>
  </si>
  <si>
    <t xml:space="preserve"> 302-284-9365</t>
  </si>
  <si>
    <t>Replaced poor Healy bronze with aluminum in 2024.</t>
  </si>
  <si>
    <t>2007, 2024</t>
  </si>
  <si>
    <t>https://archives.delaware.gov/delaware-historical-markers/felton-train-station/</t>
  </si>
  <si>
    <t xml:space="preserve">https://archives.delaware.gov/wp-content/uploads/sites/156/2019/06/kc_105-2.jpg  </t>
  </si>
  <si>
    <t xml:space="preserve">KC-106 </t>
  </si>
  <si>
    <t>Citizens' Hose Company No. 1</t>
  </si>
  <si>
    <t>4/20/2022 - CM-S 11/28/2023 - CM-S 5/30/2024 - CM-S 6/14/2024 - CM-S</t>
  </si>
  <si>
    <t>11/30/2023 - VLM</t>
  </si>
  <si>
    <t>Sen. Bruce Ennis &amp; Sen. Nancy W. Cook</t>
  </si>
  <si>
    <t>103 West Commerce Street</t>
  </si>
  <si>
    <t>Wall mount</t>
  </si>
  <si>
    <t>https://archives.delaware.gov/delaware-historical-markers/citizens-hose-company/</t>
  </si>
  <si>
    <t>https://archives.delaware.gov/wp-content/uploads/sites/156/2019/06/kc-106-2.jpg</t>
  </si>
  <si>
    <t xml:space="preserve">KC-107 </t>
  </si>
  <si>
    <t>Mount Zion African Methodist Episcopal Church</t>
  </si>
  <si>
    <t>4/20/2022 - CM-S 12/29/2022 - DWC 
2/27/2024 - CM-S
11/4/2024 - CM-S</t>
  </si>
  <si>
    <t>101 North Queen Street</t>
  </si>
  <si>
    <t>https://archives.delaware.gov/delaware-historical-markers/mt-zion-ame-church/</t>
  </si>
  <si>
    <t>https://archives.delaware.gov/wp-content/uploads/sites/156/2024/03/kc-107-3.jpg</t>
  </si>
  <si>
    <t xml:space="preserve">KC-108 </t>
  </si>
  <si>
    <t>Roby United Methodist Church</t>
  </si>
  <si>
    <t>2/8/2023 - CM-S
2/21/2023 - CM-S
1/22/2024 - CM-S
9/10/2024 - CM-S
1/22/2025 - CM-S</t>
  </si>
  <si>
    <t>8/26/2025 - VLM</t>
  </si>
  <si>
    <t xml:space="preserve">39.23972  </t>
  </si>
  <si>
    <t>255 North Main Street</t>
  </si>
  <si>
    <t>Leipsic</t>
  </si>
  <si>
    <t>https://archives.delaware.gov/delaware-historical-markers/roby-methodist-church/</t>
  </si>
  <si>
    <t>https://archives.delaware.gov/wp-content/uploads/sites/156/2025/09/kc-108-25.jpg</t>
  </si>
  <si>
    <t xml:space="preserve">KC-109 </t>
  </si>
  <si>
    <t>Griffith's Chapel</t>
  </si>
  <si>
    <t xml:space="preserve"> 8/7/2023 - CM-S
12/15/2024 - CM-S
1/12/2025 - CM-S</t>
  </si>
  <si>
    <t>12/13/2023 -  VLM</t>
  </si>
  <si>
    <t>Sen. Colin Bonini &amp; Rep.Bobby Outten</t>
  </si>
  <si>
    <t>38.89581</t>
  </si>
  <si>
    <t>-75.50815</t>
  </si>
  <si>
    <t>3620 Williamsville Road</t>
  </si>
  <si>
    <t>Houston</t>
  </si>
  <si>
    <t>https://archives.delaware.gov/delaware-historical-markers/griffiths-chapel/</t>
  </si>
  <si>
    <t>https://archives.delaware.gov/wp-content/uploads/sites/156/2023/12/KC-109.jpg</t>
  </si>
  <si>
    <t xml:space="preserve">KC-110 </t>
  </si>
  <si>
    <t>Zion African Methodist Episcopal Church</t>
  </si>
  <si>
    <t>2/27/2023 - CM-S
4/22/2024 - CM-S
6/4/2024 - CM-S</t>
  </si>
  <si>
    <t>2/6/2024 - VLM</t>
  </si>
  <si>
    <t>Sen. Colin Bonini &amp; Rep. Donald A. Blakey</t>
  </si>
  <si>
    <t>39.11717</t>
  </si>
  <si>
    <t>-75.55136</t>
  </si>
  <si>
    <t>20 Center Street</t>
  </si>
  <si>
    <t>https://archives.delaware.gov/delaware-historical-markers/zion-african-methodist-episcopal/</t>
  </si>
  <si>
    <t>https://archives.delaware.gov/wp-content/uploads/sites/156/2019/06/kc-110-2.jpg</t>
  </si>
  <si>
    <t xml:space="preserve">KC-111 </t>
  </si>
  <si>
    <t>Bethel African Methodist Episcopal Church</t>
  </si>
  <si>
    <t>4/20/2022 - CM-S 8/22/2023 - CM-S 5/22/2024 - CM-S</t>
  </si>
  <si>
    <t>9/30/2024 - VLM</t>
  </si>
  <si>
    <t>Sen. F. Gary Simpson &amp; Sen. Catherine "Cathy" Cloutier</t>
  </si>
  <si>
    <t>205 N.W. 4th Street</t>
  </si>
  <si>
    <t>Marker turned on 8/18/2023 to put good side forward.</t>
  </si>
  <si>
    <t>https://archives.delaware.gov/delaware-historical-markers/bethel-african-methodist-episcopal-church/</t>
  </si>
  <si>
    <t>https://archives.delaware.gov/wp-content/uploads/sites/156/2019/06/kc-111-24.jpg</t>
  </si>
  <si>
    <t xml:space="preserve">KC-112 </t>
  </si>
  <si>
    <t>Byrd's African Methodist Episcopal Church</t>
  </si>
  <si>
    <t xml:space="preserve"> 12/19/2022 - DWC
5/30/2024 - CM-S</t>
  </si>
  <si>
    <t>Sen. Bruce C, Ennis &amp; Rep. William "Bill" J. Carson</t>
  </si>
  <si>
    <t>39.292189</t>
  </si>
  <si>
    <t>-75.626700</t>
  </si>
  <si>
    <t>131 Dickerson Street</t>
  </si>
  <si>
    <t>https://archives.delaware.gov/delaware-historical-markers/byrds-african-methodist-episcopal-church/</t>
  </si>
  <si>
    <t>https://archives.delaware.gov/wp-content/uploads/sites/156/2019/06/kc-112.jpg</t>
  </si>
  <si>
    <t xml:space="preserve">KC-113 </t>
  </si>
  <si>
    <t>Union Cemetery</t>
  </si>
  <si>
    <t>4/20/2022 - CM-S 9/14/2023 - CM-S  6/14/2024 - CM-S</t>
  </si>
  <si>
    <t>45 Monrovia Avenue</t>
  </si>
  <si>
    <t>https://archives.delaware.gov/delaware-historical-markers/union-cemetery/</t>
  </si>
  <si>
    <t>https://archives.delaware.gov/wp-content/uploads/sites/156/2019/06/kc_113.jpg</t>
  </si>
  <si>
    <t xml:space="preserve">KC-114 </t>
  </si>
  <si>
    <t>Colonel John Haslet</t>
  </si>
  <si>
    <t>1128 Airport Road</t>
  </si>
  <si>
    <t>See KC-A7</t>
  </si>
  <si>
    <t>https://archives.delaware.gov/delaware-historical-markers/colonel-john-haslet/</t>
  </si>
  <si>
    <t>https://archives.delaware.gov/wp-content/uploads/sites/156/2019/06/kc-114-25.jpg</t>
  </si>
  <si>
    <t xml:space="preserve">KC-115 </t>
  </si>
  <si>
    <t>Observation Tower at Big Stone Beach</t>
  </si>
  <si>
    <t>3/30/2022 - CM-S 10/9/2023 - CM-S
10/8/2024 - CM-S</t>
  </si>
  <si>
    <t>10/24/2023 - VLM</t>
  </si>
  <si>
    <t>Sen. C. Bonini &amp; Rep. Harvey R. Kenton</t>
  </si>
  <si>
    <t>220 S. Big Stone Beach Drive</t>
  </si>
  <si>
    <t>Observation Tower, Big Stone Beach</t>
  </si>
  <si>
    <t>https://archives.delaware.gov/delaware-historical-markers/observation-tower-at-big-stone-beach/</t>
  </si>
  <si>
    <t>https://archives.delaware.gov/wp-content/uploads/sites/156/2019/06/kc_115_2.jpg</t>
  </si>
  <si>
    <t xml:space="preserve">KC-116 </t>
  </si>
  <si>
    <t>Caesar Rodney School District</t>
  </si>
  <si>
    <t>4/19/2022 - CM-S
4/22/2024 - CM-S</t>
  </si>
  <si>
    <t>Sen. Brian Bushweller &amp; Rep. Lyndon Yearick</t>
  </si>
  <si>
    <t>14 Front Street</t>
  </si>
  <si>
    <t>https://archives.delaware.gov/delaware-historical-markers/caesar-rodney-school-district/</t>
  </si>
  <si>
    <t>https://archives.delaware.gov/wp-content/uploads/sites/156/2019/06/kc-116-24.jpg</t>
  </si>
  <si>
    <t xml:space="preserve">KC-117 </t>
  </si>
  <si>
    <t>Eden Hill Farm</t>
  </si>
  <si>
    <t>7/9/2024 - CM-S</t>
  </si>
  <si>
    <t>6/24/2024 - VLM</t>
  </si>
  <si>
    <t>Rep. Sean Lynn, Sen. Brian Bushweller</t>
  </si>
  <si>
    <t>800 W. North Street</t>
  </si>
  <si>
    <t>https://archives.delaware.gov/delaware-historical-markers/eden-hill/</t>
  </si>
  <si>
    <t>https://archives.delaware.gov/wp-content/uploads/sites/156/2019/06/kc-117-24.jpg</t>
  </si>
  <si>
    <t xml:space="preserve">KC-118 </t>
  </si>
  <si>
    <t>Samuel D. Burris</t>
  </si>
  <si>
    <t>1/15/2023 - DWC 2/29/2024 - CM-S</t>
  </si>
  <si>
    <t>11/2/2023 - VLM</t>
  </si>
  <si>
    <t>Sen. Dave G. Lawson, Rep. Lyndon Yearick, Rep. William Outten</t>
  </si>
  <si>
    <t>39.05995</t>
  </si>
  <si>
    <t>-75.63672</t>
  </si>
  <si>
    <t>Intersection of Henry Cowgill Road and Willow Grove Road</t>
  </si>
  <si>
    <t>https://archives.delaware.gov/delaware-historical-markers/samuel-burris/</t>
  </si>
  <si>
    <t>https://archives.delaware.gov/wp-content/uploads/sites/156/2019/06/kc-118-2.jpg</t>
  </si>
  <si>
    <t xml:space="preserve">KC-119 </t>
  </si>
  <si>
    <t>Annie Jump Cannon</t>
  </si>
  <si>
    <t>11/30/2022 - DWC
3/26/2024 - CM-S 12/19/2024 - VLM</t>
  </si>
  <si>
    <t>Womens History</t>
  </si>
  <si>
    <t>Sen. Brian J. Bushweller &amp; Rep. Sean M. Lynn</t>
  </si>
  <si>
    <t>39.16061</t>
  </si>
  <si>
    <t>-75.52548</t>
  </si>
  <si>
    <t>34 S. State Street</t>
  </si>
  <si>
    <t>https://archives.delaware.gov/delaware-historical-markers/annie-jump-cannon/</t>
  </si>
  <si>
    <t>https://archives.delaware.gov/wp-content/uploads/sites/156/2019/06/kc-119-24.jpg</t>
  </si>
  <si>
    <t xml:space="preserve">KC-120 </t>
  </si>
  <si>
    <t>Laws Chapel</t>
  </si>
  <si>
    <t>4/5/2022 - CM-S 4/17/2023 - CM-S</t>
  </si>
  <si>
    <t>Sen. Dave G. Lawson, Rep. Harold J. "Jack" Peterman</t>
  </si>
  <si>
    <t>38.97848</t>
  </si>
  <si>
    <t>-75.50032</t>
  </si>
  <si>
    <t>4874 Carpenter Bridge Road</t>
  </si>
  <si>
    <t>https://archives.delaware.gov/delaware-historical-markers/laws-chapel/</t>
  </si>
  <si>
    <t>https://archives.delaware.gov/wp-content/uploads/sites/156/2023/04/kc-120-23l.jpg</t>
  </si>
  <si>
    <t xml:space="preserve">KC-121 </t>
  </si>
  <si>
    <t>Town of Bowers</t>
  </si>
  <si>
    <t>2/21/2022 - CM-S 10/29/2024 - CM-S</t>
  </si>
  <si>
    <t>Rep. Harold J. "Jack" Peterman</t>
  </si>
  <si>
    <t>39.05811</t>
  </si>
  <si>
    <t>-75.40351</t>
  </si>
  <si>
    <t>3249 Main Street</t>
  </si>
  <si>
    <t>Bowers</t>
  </si>
  <si>
    <t>1974, 2016</t>
  </si>
  <si>
    <t>https://archives.delaware.gov/delaware-historical-markers/town-of-bowers/</t>
  </si>
  <si>
    <t>https://archives.delaware.gov/wp-content/uploads/sites/156/2019/06/kc121-2.jpg</t>
  </si>
  <si>
    <t xml:space="preserve">KC-122 </t>
  </si>
  <si>
    <t>St. Paul African Methodist Episcopal (A.M.E.) Church</t>
  </si>
  <si>
    <t>1/25/2023 - CM-S
2/7/2023 - CM-S
8/14/2024 - CM-S</t>
  </si>
  <si>
    <t>Gary F. Simpson, Senate, 2017</t>
  </si>
  <si>
    <t>103 West Mispillion Street</t>
  </si>
  <si>
    <t>https://archives.delaware.gov/delaware-historical-markers/st-paul-ame-church/</t>
  </si>
  <si>
    <t>https://archives.delaware.gov/wp-content/uploads/sites/156/2019/06/kc-122-24.jpg</t>
  </si>
  <si>
    <t xml:space="preserve">KC-123 </t>
  </si>
  <si>
    <t>Former Site of Whitehall Plantation</t>
  </si>
  <si>
    <t xml:space="preserve"> 1/25/2023 DWC 11/28/2023 - CM-S</t>
  </si>
  <si>
    <t>10/20/2025 - VLM</t>
  </si>
  <si>
    <t>39.25828</t>
  </si>
  <si>
    <t>-75.47809</t>
  </si>
  <si>
    <t>2610 Whitehall Neck Rd</t>
  </si>
  <si>
    <t>https://archives.delaware.gov/delaware-historical-markers/former-site-of-whitehall-plantation/</t>
  </si>
  <si>
    <t>https://archives.delaware.gov/wp-content/uploads/sites/156/2025/10/kc-123-25.jpg</t>
  </si>
  <si>
    <t xml:space="preserve">KC-124 </t>
  </si>
  <si>
    <t>Little Creek United Methodist Church</t>
  </si>
  <si>
    <t>4/19/2022 - CM-S
4/25/2024 - CM-S</t>
  </si>
  <si>
    <t>4/25/2024 - VLM</t>
  </si>
  <si>
    <t>Rep. William J. "Bill" Carson / Sen Bonini</t>
  </si>
  <si>
    <t>240 Main Street</t>
  </si>
  <si>
    <t>Little Creek</t>
  </si>
  <si>
    <t>https://archives.delaware.gov/delaware-historical-markers/little-creek-united-methodist-church/</t>
  </si>
  <si>
    <t>https://archives.delaware.gov/wp-content/uploads/sites/156/2019/06/kc-124-24.jpg</t>
  </si>
  <si>
    <t xml:space="preserve">KC-125 </t>
  </si>
  <si>
    <t>St. Peter's Episcopal Church</t>
  </si>
  <si>
    <t>4/20/2022 - CM-S 2/9/2024 - CM-S 5/30/2024 - CM-S</t>
  </si>
  <si>
    <t>7/29/2024 - VLM</t>
  </si>
  <si>
    <t>523 North Main Street</t>
  </si>
  <si>
    <t>St. Peter's Cemetery, Smyrna</t>
  </si>
  <si>
    <t>https://archives.delaware.gov/delaware-historical-markers/st-peters-episcopal-church-2/</t>
  </si>
  <si>
    <t>https://archives.delaware.gov/wp-content/uploads/sites/156/2019/06/kc-125-24.jpg</t>
  </si>
  <si>
    <t xml:space="preserve">KC-126 </t>
  </si>
  <si>
    <t>Town of Little Creek</t>
  </si>
  <si>
    <t xml:space="preserve"> 4/20/2022 - CM-S 2/21/2023 - CM-S 
4/25/2024 - CM-S</t>
  </si>
  <si>
    <t>9/2/2025 - VLM</t>
  </si>
  <si>
    <t>Rep. William J. "Bill" Carson</t>
  </si>
  <si>
    <t>63 Main Street</t>
  </si>
  <si>
    <t>https://archives.delaware.gov/delaware-historical-markers/town-of-little-creek/</t>
  </si>
  <si>
    <t>https://archives.delaware.gov/wp-content/uploads/sites/156/2025/09/kc-126-25.jpg</t>
  </si>
  <si>
    <t xml:space="preserve">KC-127 </t>
  </si>
  <si>
    <t>Town of Farmington</t>
  </si>
  <si>
    <t>1/6/2023 - CM-S 12/17/2023 - CM-S</t>
  </si>
  <si>
    <t>10/21/2024 - VLM</t>
  </si>
  <si>
    <t>Sen. David L. Wilson, Rep. W. Shannon Morris</t>
  </si>
  <si>
    <t>243 Main Street</t>
  </si>
  <si>
    <t>https://archives.delaware.gov/delaware-historical-markers/town-of-farmington/</t>
  </si>
  <si>
    <t>https://archives.delaware.gov/wp-content/uploads/sites/156/2019/06/kc-127-24.jpg</t>
  </si>
  <si>
    <t xml:space="preserve">KC-128 </t>
  </si>
  <si>
    <t>Dover International Speedway</t>
  </si>
  <si>
    <t>4/21/2022 - CM-S</t>
  </si>
  <si>
    <t>Sen. Trey Paradee, Rep. William D. "Bill" Carson &amp; Rep. Sean Lynn</t>
  </si>
  <si>
    <t>99 Plaza Drive</t>
  </si>
  <si>
    <t>Next race scheduled for July 18-20, 2025</t>
  </si>
  <si>
    <t>https://archives.delaware.gov/delaware-historical-markers/dover-international-speedway/</t>
  </si>
  <si>
    <t>https://archives.delaware.gov/wp-content/uploads/sites/156/2019/06/kc_128.jpg</t>
  </si>
  <si>
    <t xml:space="preserve">KC-129 </t>
  </si>
  <si>
    <t>Dover Downs</t>
  </si>
  <si>
    <t>1/21/2022 - BW 3/18/2024 - CM-S
8/27/2024 - CM-S</t>
  </si>
  <si>
    <t>2/20/2025 - VLM</t>
  </si>
  <si>
    <t>1131 N Dupont Hwy</t>
  </si>
  <si>
    <t>https://archives.delaware.gov/delaware-historical-markers/dover-downs/</t>
  </si>
  <si>
    <t>https://archives.delaware.gov/wp-content/uploads/sites/156/2019/06/kc-129-25.jpg</t>
  </si>
  <si>
    <t xml:space="preserve">KC-130 </t>
  </si>
  <si>
    <t>Kent County Theatre Guild</t>
  </si>
  <si>
    <t>Rep. Andria Bennett</t>
  </si>
  <si>
    <t>140 Roosevelt Avenue</t>
  </si>
  <si>
    <t>https://archives.delaware.gov/delaware-historical-markers/kent-county-theatre-guild/</t>
  </si>
  <si>
    <t>https://archives.delaware.gov/wp-content/uploads/sites/156/2019/06/kc-130-25.jpg</t>
  </si>
  <si>
    <t xml:space="preserve">KC-131 </t>
  </si>
  <si>
    <t>Delaware's Struggle for Women's Right to Vote</t>
  </si>
  <si>
    <t>3/23/2022 - CM-S
1/16/2024 - CM-S
1/9/2025 - CM-S</t>
  </si>
  <si>
    <t>2020 Women's Suffrage Committee</t>
  </si>
  <si>
    <t>39.15672</t>
  </si>
  <si>
    <t>-75.52290</t>
  </si>
  <si>
    <t>25 The Green</t>
  </si>
  <si>
    <t>1/4 of Women's Suffrage Commission</t>
  </si>
  <si>
    <t>https://archives.delaware.gov/delaware-historical-markers/delawares-struggle-for-womens-right-to-vote/</t>
  </si>
  <si>
    <t>https://archives.delaware.gov/wp-content/uploads/sites/156/2019/06/kc-131.jpg</t>
  </si>
  <si>
    <t xml:space="preserve">KC-132 </t>
  </si>
  <si>
    <t>Site of Carlisle African Methodist Episcopal Church</t>
  </si>
  <si>
    <t>3/19/2024 - CM-S</t>
  </si>
  <si>
    <t>4/3/2024 - VLM</t>
  </si>
  <si>
    <t>Sen. Trey Paradee, Rep. William "Bill" Bush</t>
  </si>
  <si>
    <t>39.15667</t>
  </si>
  <si>
    <t>-75.59760</t>
  </si>
  <si>
    <t>2276 Sharon Hill Rd</t>
  </si>
  <si>
    <t>https://archives.delaware.gov/delaware-historical-markers/site-of-carlisle-african-methodist-episcopal-church/</t>
  </si>
  <si>
    <t>https://archives.delaware.gov/wp-content/uploads/sites/156/2019/06/kc-132-24.jpg</t>
  </si>
  <si>
    <t>KC-133</t>
  </si>
  <si>
    <t>Brinkley Hill</t>
  </si>
  <si>
    <t>10/9/2025 - VLM</t>
  </si>
  <si>
    <t>Representative Lyndon Yearick</t>
  </si>
  <si>
    <t>39.117366</t>
  </si>
  <si>
    <t>-75.538535</t>
  </si>
  <si>
    <t>Caesar Rodney High School</t>
  </si>
  <si>
    <t>Located near tennis courts on Old Camden Road, across from La Ortalana Pizza</t>
  </si>
  <si>
    <t>KC-134</t>
  </si>
  <si>
    <t>Banning Meeting House</t>
  </si>
  <si>
    <t>10/29/2024 - CM-S</t>
  </si>
  <si>
    <t>Sen. Colin Bonini</t>
  </si>
  <si>
    <t>39.08965</t>
  </si>
  <si>
    <t>-75.49721</t>
  </si>
  <si>
    <t>3843 S. State Street</t>
  </si>
  <si>
    <t>Camden-Wyoming</t>
  </si>
  <si>
    <t>Banning's Cemetery</t>
  </si>
  <si>
    <t>Orchard United Methodist Church 302-335-3304</t>
  </si>
  <si>
    <t>https://archives.delaware.gov/delaware-historical-markers/banning-meeting-house/</t>
  </si>
  <si>
    <t>https://archives.delaware.gov/wp-content/uploads/sites/156/2025/09/kc-134-25.jpg</t>
  </si>
  <si>
    <t>KC-135</t>
  </si>
  <si>
    <t>DSU Civilian Pilot Training Program</t>
  </si>
  <si>
    <t>In Progress</t>
  </si>
  <si>
    <t>KC-136</t>
  </si>
  <si>
    <t>Not assigned</t>
  </si>
  <si>
    <t>KC-137</t>
  </si>
  <si>
    <t>Mt. Olive Holiness Pentecostal Church</t>
  </si>
  <si>
    <t>11/12/2024 - CM-S</t>
  </si>
  <si>
    <t>11/4/2025 - VLM</t>
  </si>
  <si>
    <t>Sen. Bruce G. Ennis</t>
  </si>
  <si>
    <t>39.30385</t>
  </si>
  <si>
    <t>-75.60703</t>
  </si>
  <si>
    <t>139 E. North Street</t>
  </si>
  <si>
    <t>Janet Bratten, Elder 302-653-6833, cell 302-382-5176</t>
  </si>
  <si>
    <t>https://archives.delaware.gov/delaware-historical-markers/mt-olive-holiness-pentecostal-church/</t>
  </si>
  <si>
    <t>https://archives.delaware.gov/wp-content/uploads/sites/156/2025/11/kc-137-25.jpg</t>
  </si>
  <si>
    <t>KC-138</t>
  </si>
  <si>
    <t>Woodburn, The Governor's House</t>
  </si>
  <si>
    <t xml:space="preserve">KC-A1 </t>
  </si>
  <si>
    <t>The Allee House</t>
  </si>
  <si>
    <t>12/6/2022 - DWC 2/9/2024 - CM-S
9/10/2024 - CM-S</t>
  </si>
  <si>
    <t>1/21/2026 - VLM</t>
  </si>
  <si>
    <t>Public Archives Commission, 1963</t>
  </si>
  <si>
    <t>1576 Hay Point Landing Road</t>
  </si>
  <si>
    <t>Bronze Tableau</t>
  </si>
  <si>
    <t>https://archives.delaware.gov/delaware-historical-markers/the-allee-house/</t>
  </si>
  <si>
    <t>https://archives.delaware.gov/wp-content/uploads/sites/156/2019/06/kc-a1-1-24.jpg</t>
  </si>
  <si>
    <t xml:space="preserve">KC-A10 </t>
  </si>
  <si>
    <t>Woodburn</t>
  </si>
  <si>
    <t>6/6/2023 - CM-S
10/8/2024 - CM-S
12/26/2024 - CM-S</t>
  </si>
  <si>
    <t>151 Kings Highway</t>
  </si>
  <si>
    <t>Woodburn: The Governor's House</t>
  </si>
  <si>
    <t xml:space="preserve">Marker is not included in any books, no folder exisits.  Included when the omission was discovered in 2023 - CM-S </t>
  </si>
  <si>
    <t>KC-A11</t>
  </si>
  <si>
    <t>Old Presbyterian Church</t>
  </si>
  <si>
    <t>KC-A11 - Old Presbyterian Church (Dover)</t>
  </si>
  <si>
    <t>5/2/2024 - CM-S</t>
  </si>
  <si>
    <t>10/20/2025 - VM</t>
  </si>
  <si>
    <t>Public Archives Commission, 1950</t>
  </si>
  <si>
    <t>316 South Governors Avenue</t>
  </si>
  <si>
    <t>Old Presbyterian Church &amp; Cemetery</t>
  </si>
  <si>
    <t xml:space="preserve">HCA </t>
  </si>
  <si>
    <t>Marker discovered 2024 - Not in any books.  Located inside of Old Presbyterain Church. Added to inventory.</t>
  </si>
  <si>
    <t>https://archives.delaware.gov/delaware-historical-markers/old-presbyterian-church-dover/</t>
  </si>
  <si>
    <t>https://archives.delaware.gov/wp-content/uploads/sites/156/2025/10/kc-a11-25.jpg</t>
  </si>
  <si>
    <t>KC-A12</t>
  </si>
  <si>
    <t>Kent County Courthouses 1680-1983</t>
  </si>
  <si>
    <t>KC-A12 - Kent County Courthouses 1680-1983</t>
  </si>
  <si>
    <t>3/23/2022 - CM-S
1/16/2024 - CM-S</t>
  </si>
  <si>
    <t>38 The Green</t>
  </si>
  <si>
    <t>Marker is on the courtyard side of the building</t>
  </si>
  <si>
    <t>https://archives.delaware.gov/delaware-historical-markers/kent-county-courthouses-1680-1983/</t>
  </si>
  <si>
    <t>https://archives.delaware.gov/wp-content/uploads/sites/156/2019/06/kc-a12-25.jpg</t>
  </si>
  <si>
    <t xml:space="preserve">KC-A2 </t>
  </si>
  <si>
    <t>3/23/2022 - CM-S  4/26/2023 - CM-S  
1/9/2025 - CM-S</t>
  </si>
  <si>
    <t xml:space="preserve">Notable Person </t>
  </si>
  <si>
    <t>Historic Markers Commission 1932</t>
  </si>
  <si>
    <t>39.15471</t>
  </si>
  <si>
    <t>-75.52301</t>
  </si>
  <si>
    <t>Christ Church, Dover</t>
  </si>
  <si>
    <t>In brick wall at Christ Church Dover.  Was painted between 2006 and 2011.</t>
  </si>
  <si>
    <t>See web form</t>
  </si>
  <si>
    <t>https://archives.delaware.gov/delaware-historical-markers/caesar-rodney-kca2/</t>
  </si>
  <si>
    <t>https://archives.delaware.gov/wp-content/uploads/sites/156/2019/06/kc-a2-2.jpg</t>
  </si>
  <si>
    <t xml:space="preserve">KC-A3 </t>
  </si>
  <si>
    <t>Nicholas Ridgely</t>
  </si>
  <si>
    <t>3/23/2022 - CM-S  4/26/2023 - CM-S  6/23/2023 - CM-S
1/9/2025 - CM-S</t>
  </si>
  <si>
    <t>https://archives.delaware.gov/delaware-historical-markers/nicholas-ridgely/</t>
  </si>
  <si>
    <t>https://archives.delaware.gov/wp-content/uploads/sites/156/2019/06/kc-a3-2.jpg</t>
  </si>
  <si>
    <t xml:space="preserve">KC-A4 </t>
  </si>
  <si>
    <t>Ridgely House</t>
  </si>
  <si>
    <t>3/23/2022 - CM-S 11/9/2023 - CM-S 12/19/2024 - VLM</t>
  </si>
  <si>
    <t xml:space="preserve">Historic Location </t>
  </si>
  <si>
    <t>12/13/2023 - VLM</t>
  </si>
  <si>
    <t>7 The Green</t>
  </si>
  <si>
    <t>https://archives.delaware.gov/delaware-historical-markers/ridgely-house-built-1728/</t>
  </si>
  <si>
    <t>https://archives.delaware.gov/wp-content/uploads/sites/156/2025/10/kc-a4-25.jpg</t>
  </si>
  <si>
    <t xml:space="preserve">KC-A5 </t>
  </si>
  <si>
    <t>Site of King George's Tavern</t>
  </si>
  <si>
    <t>3/20/2024 - CM-S
5/2/2024 - CM-S
1/9/2025 - CM-S</t>
  </si>
  <si>
    <t>South East Side of the Green</t>
  </si>
  <si>
    <t>https://archives.delaware.gov/delaware-historical-markers/king-georges-tavern/</t>
  </si>
  <si>
    <t>https://archives.delaware.gov/wp-content/uploads/sites/156/2019/06/kc-a5-24.jpg</t>
  </si>
  <si>
    <t xml:space="preserve">KC-A6 </t>
  </si>
  <si>
    <t>State House</t>
  </si>
  <si>
    <t>3/23/2022 - CM-S
5/2/2024 - CM-S
9/18/2024 - CM-S 12/19/2024 - VLM
1/9/2025 - CM-S</t>
  </si>
  <si>
    <t>250th</t>
  </si>
  <si>
    <t>Division of Historical &amp; Cultural Affairs</t>
  </si>
  <si>
    <t>https://archives.delaware.gov/delaware-historical-markers/state-house/</t>
  </si>
  <si>
    <t>https://archives.delaware.gov/wp-content/uploads/sites/156/2025/12/kc-a6-25.jpg</t>
  </si>
  <si>
    <t xml:space="preserve">KC-A7 </t>
  </si>
  <si>
    <t>39.15627</t>
  </si>
  <si>
    <t>-75.52665</t>
  </si>
  <si>
    <t xml:space="preserve">316 South Governor's Avenue </t>
  </si>
  <si>
    <t>See also KC-114, Wall Plaque - discoleration/weathering</t>
  </si>
  <si>
    <t>https://archives.delaware.gov/delaware-historical-markers/colonel-john-haslet-a7/</t>
  </si>
  <si>
    <t>https://archives.delaware.gov/wp-content/uploads/sites/156/2019/06/kc-a7-2.jpg</t>
  </si>
  <si>
    <t xml:space="preserve">KC-A8 </t>
  </si>
  <si>
    <t>John M. Clayton</t>
  </si>
  <si>
    <t>4/4/2023 - CM-S 10/4/2023 - CM-S
5/2/2024 - CM-S</t>
  </si>
  <si>
    <t>9/9/2025 - VLM</t>
  </si>
  <si>
    <t>Wall Plaque - discoleration/weathering</t>
  </si>
  <si>
    <t>https://archives.delaware.gov/delaware-historical-markers/john-clayton/</t>
  </si>
  <si>
    <t>https://archives.delaware.gov/wp-content/uploads/sites/156/2025/09/kc-a8-25.jpg</t>
  </si>
  <si>
    <t xml:space="preserve">KC-A9 </t>
  </si>
  <si>
    <t>Dover Light Infantry</t>
  </si>
  <si>
    <t>3/12/2024 - CM-S
12/19/2024 - CM-S</t>
  </si>
  <si>
    <t xml:space="preserve">Social History </t>
  </si>
  <si>
    <t>411 Legislative Avenue, Dover, DE 19901</t>
  </si>
  <si>
    <t>https://archives.delaware.gov/delaware-historical-markers/dover-light-infantry/</t>
  </si>
  <si>
    <t>https://archives.delaware.gov/wp-content/uploads/sites/156/2025/11/kc-a9-25-1.jpg</t>
  </si>
  <si>
    <t xml:space="preserve">NCC-001 </t>
  </si>
  <si>
    <t>Block House</t>
  </si>
  <si>
    <t>Markers Commission</t>
  </si>
  <si>
    <t>1 Naamans Rd</t>
  </si>
  <si>
    <t>Claymont</t>
  </si>
  <si>
    <t xml:space="preserve">NCC-002 </t>
  </si>
  <si>
    <t>Robinson House</t>
  </si>
  <si>
    <t>Replaced with NCC-160 in 2006</t>
  </si>
  <si>
    <t>38.81031</t>
  </si>
  <si>
    <t>-75.44162</t>
  </si>
  <si>
    <t>Replaced w/ NCC-160 Robinson House in 2006</t>
  </si>
  <si>
    <t xml:space="preserve">NCC-003 </t>
  </si>
  <si>
    <t>Naaman's Creek</t>
  </si>
  <si>
    <t>39.809974</t>
  </si>
  <si>
    <t>-75.442593</t>
  </si>
  <si>
    <t>Rt. 13 Phila. Pike &amp; Naamans Corner</t>
  </si>
  <si>
    <t xml:space="preserve">NCC-004 </t>
  </si>
  <si>
    <t>Naaman's Bridge</t>
  </si>
  <si>
    <t>38.80985</t>
  </si>
  <si>
    <t>-75.44267</t>
  </si>
  <si>
    <t>Rt 13 .5 miles south of State Line, west side of highway</t>
  </si>
  <si>
    <t xml:space="preserve">NCC-005 </t>
  </si>
  <si>
    <t>Newark Union</t>
  </si>
  <si>
    <t>1/11/2023 - CM-S 10/30/2024-CM-S</t>
  </si>
  <si>
    <t>4/18/2023 - CM-S</t>
  </si>
  <si>
    <t>52 Baynard Blvd</t>
  </si>
  <si>
    <t>Wilmington</t>
  </si>
  <si>
    <t>Bob &amp; Anne Daly, Newark Union Church &amp; Cemetery NewarkUnion8@gmail.com 302-377-0960</t>
  </si>
  <si>
    <t>2019: Constituent repainted without permission. Needs repaint</t>
  </si>
  <si>
    <t>https://archives.delaware.gov/delaware-historical-markers/newark-union/</t>
  </si>
  <si>
    <t>https://archives.delaware.gov/wp-content/uploads/sites/156/2019/06/ncc-005.jpg</t>
  </si>
  <si>
    <t xml:space="preserve">NCC-006 </t>
  </si>
  <si>
    <t>Gunning Bedford Jr</t>
  </si>
  <si>
    <t>1/11/2023 - CM-S
10/25/2024 - CM-S</t>
  </si>
  <si>
    <t>39.78150</t>
  </si>
  <si>
    <t>-75.54520</t>
  </si>
  <si>
    <t>1611 Concord Pike</t>
  </si>
  <si>
    <t>https://archives.delaware.gov/delaware-historical-markers/gunning-bedford-jr/</t>
  </si>
  <si>
    <t>https://archives.delaware.gov/wp-content/uploads/sites/156/2019/06/nc-6.jpg</t>
  </si>
  <si>
    <t xml:space="preserve">NCC-007 </t>
  </si>
  <si>
    <t>Encampment of Continental Troops 1777</t>
  </si>
  <si>
    <t>12/6/2023 - CM-S</t>
  </si>
  <si>
    <t>12/14/2023 - VLM</t>
  </si>
  <si>
    <t>Markers Commission / State of Delaware Historical Markers Program</t>
  </si>
  <si>
    <t>39.75678</t>
  </si>
  <si>
    <t>-75.55583</t>
  </si>
  <si>
    <t>1400 Lovering Avenue</t>
  </si>
  <si>
    <t xml:space="preserve">Wilmington </t>
  </si>
  <si>
    <t>Patrick Thompson, Wilmington State Parks, DNREC Patrick.Thompson@delaware.gov 302-577-7020</t>
  </si>
  <si>
    <t>Marker missing since 1960s - Replacement ordered, 2022</t>
  </si>
  <si>
    <t>1932, 2023</t>
  </si>
  <si>
    <t xml:space="preserve">https://archives.delaware.gov/delaware-historical-markers/encampment-of-continental-troops-1777/ </t>
  </si>
  <si>
    <t xml:space="preserve">https://archives.delaware.gov/wp-content/uploads/sites/156/2019/06/ncc-007-2.jpg </t>
  </si>
  <si>
    <t xml:space="preserve">NCC-008 </t>
  </si>
  <si>
    <t>Old Swedes Church</t>
  </si>
  <si>
    <t>7/17/2024 - VLM 12/26/2024 - CM-S</t>
  </si>
  <si>
    <t>39.73876</t>
  </si>
  <si>
    <t>-75.54134</t>
  </si>
  <si>
    <t>606 N Church Street Marker is on southern side of cemetery near railroad tracks</t>
  </si>
  <si>
    <t>Trinity Episcopal Parish, Bob Kahn Property Maintenance Manager admin@oldswedes.org; bob@trinityparishde.org 302-584-8833 or 302-652-8605 x1018</t>
  </si>
  <si>
    <t>Removed 2021 for refabrication - Old Swedes' Church and Holy Trinity Church NC-A1 are the same location. 2/28/2024 - VLM</t>
  </si>
  <si>
    <t xml:space="preserve">NCC-009 </t>
  </si>
  <si>
    <t>The Rocks</t>
  </si>
  <si>
    <t>Deaccessioned</t>
  </si>
  <si>
    <t>39.736559</t>
  </si>
  <si>
    <t>-75.538819</t>
  </si>
  <si>
    <t xml:space="preserve">On bank of Christiana River N.E. of Landing Place at 4th Street Wharf </t>
  </si>
  <si>
    <t>Replaced w/ NCC-197 Landing of the Swedes 2013</t>
  </si>
  <si>
    <t xml:space="preserve">NCC-010 </t>
  </si>
  <si>
    <t>Eden Park (Formerly Monckton Park)</t>
  </si>
  <si>
    <t>8/31/2022 - Missing CM-S</t>
  </si>
  <si>
    <t>6/7/2022 - TS</t>
  </si>
  <si>
    <t>39.72290</t>
  </si>
  <si>
    <t>901 New Castle Avenue</t>
  </si>
  <si>
    <t xml:space="preserve">NCC-011 </t>
  </si>
  <si>
    <t>Site of Crane Hook Church</t>
  </si>
  <si>
    <t>Replaced with NCC-193 in 2012</t>
  </si>
  <si>
    <t>-75.55008</t>
  </si>
  <si>
    <t>3074 New Castle Avenue</t>
  </si>
  <si>
    <t>Replaced with NCC-193 Crane Hook Church 2012</t>
  </si>
  <si>
    <t xml:space="preserve">NCC-012 </t>
  </si>
  <si>
    <t>Long Hook Farm</t>
  </si>
  <si>
    <t>Replaced with NCC-103 in 1999</t>
  </si>
  <si>
    <t>Replaced with NCC-103, Long Hook (Home of Major Peter Jaquette) 1999</t>
  </si>
  <si>
    <t xml:space="preserve">NCC-013 </t>
  </si>
  <si>
    <t>New Castle Common</t>
  </si>
  <si>
    <t>1/9/2023 - CM-S 7/12/2023 - CM-S 2/14/2024 - CM-S
10/25/2024 - CM-S 12/26/2024 - CM-S</t>
  </si>
  <si>
    <t>3/25/2023 - VLM</t>
  </si>
  <si>
    <t>25 East 2nd Street</t>
  </si>
  <si>
    <t>New Castle</t>
  </si>
  <si>
    <t xml:space="preserve">Aluminum </t>
  </si>
  <si>
    <t>https://archives.delaware.gov/delaware-historical-markers/new-castle-common/</t>
  </si>
  <si>
    <t>https://archives.delaware.gov/wp-content/uploads/sites/156/2019/06/ncc-13-2.jpg</t>
  </si>
  <si>
    <t xml:space="preserve">NCC-014 </t>
  </si>
  <si>
    <t>39.66697</t>
  </si>
  <si>
    <t>-75.60337</t>
  </si>
  <si>
    <t>123 N. Dupont Highway</t>
  </si>
  <si>
    <t xml:space="preserve">NCC-015 </t>
  </si>
  <si>
    <t>Buena Vista</t>
  </si>
  <si>
    <t>3/16/2023 - CM-S 
9/12/2023 - CM-S
2/14/2024 - CM-S
 10/30/2024-CM-S</t>
  </si>
  <si>
    <t>39.63434</t>
  </si>
  <si>
    <t>-75.63986</t>
  </si>
  <si>
    <t>661 S. Dupont Highway</t>
  </si>
  <si>
    <t>https://archives.delaware.gov/delaware-historical-markers/buena-vista-15/</t>
  </si>
  <si>
    <t>https://archives.delaware.gov/wp-content/uploads/sites/156/2019/06/mc-15-25.jpg</t>
  </si>
  <si>
    <t xml:space="preserve">NCC-016 </t>
  </si>
  <si>
    <t>Commodore Thomas MacDonough</t>
  </si>
  <si>
    <t>5/2/2022 - CM-S
10/25/2024 - CM-S</t>
  </si>
  <si>
    <t>39.49108</t>
  </si>
  <si>
    <t>-75.65027</t>
  </si>
  <si>
    <t>2501 Dupont Parkway</t>
  </si>
  <si>
    <t>Middletown</t>
  </si>
  <si>
    <t>Formerly cast iron</t>
  </si>
  <si>
    <t xml:space="preserve">Sewah </t>
  </si>
  <si>
    <t>1966, 2016</t>
  </si>
  <si>
    <t>https://archives.delaware.gov/delaware-historical-markers/commodore-thomas-macdonough/</t>
  </si>
  <si>
    <t>https://archives.delaware.gov/wp-content/uploads/sites/156/2019/06/nc-16-2.jpg</t>
  </si>
  <si>
    <t xml:space="preserve">NCC-017 </t>
  </si>
  <si>
    <t>Old Drawyers</t>
  </si>
  <si>
    <t>Replaced with NCC-153 in 2006</t>
  </si>
  <si>
    <t>39.467294</t>
  </si>
  <si>
    <t>-75.653538</t>
  </si>
  <si>
    <t>2839 Dupont Parkway</t>
  </si>
  <si>
    <t>Replaced with NCC-153</t>
  </si>
  <si>
    <t xml:space="preserve">NCC-018 </t>
  </si>
  <si>
    <t>Odessa</t>
  </si>
  <si>
    <t>03/16/2023 - CM-S 1/23/2024 - CM-S
10/16/2024 - CM-S</t>
  </si>
  <si>
    <t>39.46025</t>
  </si>
  <si>
    <t>-75.65862</t>
  </si>
  <si>
    <t>412 North 6th Street</t>
  </si>
  <si>
    <t>On service road between North and South bound 13, formerly cast iron</t>
  </si>
  <si>
    <t>https://archives.delaware.gov/delaware-historical-markers/odessa/</t>
  </si>
  <si>
    <t>https://archives.delaware.gov/wp-content/uploads/sites/156/2019/06/nc-018.jpg</t>
  </si>
  <si>
    <t xml:space="preserve">NCC-019 </t>
  </si>
  <si>
    <t>Edmund Cantwell</t>
  </si>
  <si>
    <t>39.44531</t>
  </si>
  <si>
    <t>-75.66376</t>
  </si>
  <si>
    <t>3195 South Dupont Highway</t>
  </si>
  <si>
    <t xml:space="preserve">NCC-020 </t>
  </si>
  <si>
    <t>Indian Treaty</t>
  </si>
  <si>
    <t>39.44822</t>
  </si>
  <si>
    <t>-75.66417</t>
  </si>
  <si>
    <t>512 Main Street</t>
  </si>
  <si>
    <t xml:space="preserve">NCC-021 </t>
  </si>
  <si>
    <t>39.66296</t>
  </si>
  <si>
    <t>-75.568244</t>
  </si>
  <si>
    <t>700 Delaware Street</t>
  </si>
  <si>
    <t xml:space="preserve">NCC-022 </t>
  </si>
  <si>
    <t>Broad Dyke</t>
  </si>
  <si>
    <t>1/9/2023 - CM-S 2/14/2024 - CM-S 10/30/2024-CM-S</t>
  </si>
  <si>
    <t>39.66326</t>
  </si>
  <si>
    <t>-75.56092</t>
  </si>
  <si>
    <t>227 Chestnut Street</t>
  </si>
  <si>
    <t>https://archives.delaware.gov/delaware-historical-markers/broad-dyke/</t>
  </si>
  <si>
    <t>https://archives.delaware.gov/wp-content/uploads/sites/156/2019/06/NCC_022-2.jpg</t>
  </si>
  <si>
    <t xml:space="preserve">NCC-023 </t>
  </si>
  <si>
    <t>Site of Fort Casimir</t>
  </si>
  <si>
    <t>8/31/2022 - CM-S 1/9/2023 - CM-S 2/14/2024 - CM-S 10/30/2024-CM-S</t>
  </si>
  <si>
    <t>1/16/2024 - VLM</t>
  </si>
  <si>
    <t>167 E. 2nd Street</t>
  </si>
  <si>
    <t>https://archives.delaware.gov/delaware-historical-markers/fort-casimir/</t>
  </si>
  <si>
    <t>https://archives.delaware.gov/wp-content/uploads/sites/156/2019/06/ncc_023-3.jpg</t>
  </si>
  <si>
    <t xml:space="preserve">NCC-024 </t>
  </si>
  <si>
    <t>Packet Alley</t>
  </si>
  <si>
    <t>39.65907</t>
  </si>
  <si>
    <t>-75.56180</t>
  </si>
  <si>
    <t>23 The Strand</t>
  </si>
  <si>
    <t>https://archives.delaware.gov/delaware-historical-markers/packet-alley/</t>
  </si>
  <si>
    <t>https://archives.delaware.gov/wp-content/uploads/sites/156/2019/06/ncc024.jpg</t>
  </si>
  <si>
    <t xml:space="preserve">NCC-025 </t>
  </si>
  <si>
    <t>Landing Place of William Penn</t>
  </si>
  <si>
    <t>1/9/2023 - CM-S 7/12/2023 - CM-S 2/14/2024 - CM-S 10/30/2024-CM-S</t>
  </si>
  <si>
    <t>39.65854</t>
  </si>
  <si>
    <t>-75.56250</t>
  </si>
  <si>
    <t>5 The Strand</t>
  </si>
  <si>
    <t>Fun fact: 1932 marker has one side spelled 'soyle' (obsolete form of soil) and other has 'soil'. - VLM 6/11/2024</t>
  </si>
  <si>
    <t>https://archives.delaware.gov/delaware-historical-markers/landing-place-william-penn/</t>
  </si>
  <si>
    <t>https://archives.delaware.gov/wp-content/uploads/sites/156/2019/06/ncc-25-2024.jpg</t>
  </si>
  <si>
    <t xml:space="preserve">NCC-026 </t>
  </si>
  <si>
    <t>New Castle and Frenchtown Railroad</t>
  </si>
  <si>
    <t xml:space="preserve"> 7/12/2023 - CM-S 2/14/2024 - CM-S 10/30/2024-CM-S
12/26/2025 - CM-S</t>
  </si>
  <si>
    <t>39.65795</t>
  </si>
  <si>
    <t>-75.56230</t>
  </si>
  <si>
    <t>2 Delaware Street</t>
  </si>
  <si>
    <t>1968, 2015</t>
  </si>
  <si>
    <t>https://archives.delaware.gov/delaware-historical-markers/new-castle-frenchtown-railroad/</t>
  </si>
  <si>
    <t>https://archives.delaware.gov/wp-content/uploads/sites/156/2019/06/nc-26-25.jpg</t>
  </si>
  <si>
    <t xml:space="preserve">NCC-027 </t>
  </si>
  <si>
    <t>Town Hall and Market House</t>
  </si>
  <si>
    <t>39.65953</t>
  </si>
  <si>
    <t>-75.56333</t>
  </si>
  <si>
    <t>Corner of Delaware &amp; 2nd Street</t>
  </si>
  <si>
    <t>Noted location appears incorrect.  See Web Form.</t>
  </si>
  <si>
    <t xml:space="preserve">NCC-028 </t>
  </si>
  <si>
    <t>The Green or Market Plaine</t>
  </si>
  <si>
    <t>1/9/2023 - CM-S 7/12/2023 - CM-S 2/14/2024 - CM-S 10/30/2024-CM-S 12/26/2024 - CM-S</t>
  </si>
  <si>
    <t>9/3/2024 - VLM</t>
  </si>
  <si>
    <t>30 Market Street</t>
  </si>
  <si>
    <t>2007, 2020</t>
  </si>
  <si>
    <t>https://archives.delaware.gov/delaware-historical-markers/the-green-market-plaine/</t>
  </si>
  <si>
    <t>https://archives.delaware.gov/wp-content/uploads/sites/156/2019/06/ncc-028-2.jpg</t>
  </si>
  <si>
    <t xml:space="preserve">NCC-029 </t>
  </si>
  <si>
    <t>39.65959</t>
  </si>
  <si>
    <t>-75.57563</t>
  </si>
  <si>
    <t>701 Washington Street</t>
  </si>
  <si>
    <t xml:space="preserve">NCC-030 </t>
  </si>
  <si>
    <t>39.65859</t>
  </si>
  <si>
    <t>-75.57482</t>
  </si>
  <si>
    <t>340 West 7th Street</t>
  </si>
  <si>
    <t>Corner of Washington Avenue &amp; River Road, West Side</t>
  </si>
  <si>
    <t xml:space="preserve">NCC-031 </t>
  </si>
  <si>
    <t>39.68060</t>
  </si>
  <si>
    <t>-75.59076</t>
  </si>
  <si>
    <t>Washington Avenue  &amp; Hares Corner S. side of hwy</t>
  </si>
  <si>
    <t>Washington Street. and Hare's Corner Road. South side of Highway one mile from Court House Square</t>
  </si>
  <si>
    <t xml:space="preserve">NCC-032 </t>
  </si>
  <si>
    <t>Saint Mary's Church</t>
  </si>
  <si>
    <t>8/31/2022 - CM-S</t>
  </si>
  <si>
    <t>6/9/2022 - TS</t>
  </si>
  <si>
    <t>6580 Lancaster Pike</t>
  </si>
  <si>
    <t>Hockessin</t>
  </si>
  <si>
    <t>https://archives.delaware.gov/delaware-historical-markers/st-marys-church-32/</t>
  </si>
  <si>
    <t>https://archives.delaware.gov/wp-content/uploads/sites/156/2019/06/ncc_032.jpg</t>
  </si>
  <si>
    <t xml:space="preserve">NCC-033 </t>
  </si>
  <si>
    <t>Washington's Earthworks</t>
  </si>
  <si>
    <t>8/16/2023 - CM-S</t>
  </si>
  <si>
    <t>8/17/2023 - CM-S</t>
  </si>
  <si>
    <t>39.72525</t>
  </si>
  <si>
    <t>-75.62842</t>
  </si>
  <si>
    <t>Delcastle Technical High School 1417 Newport Rd</t>
  </si>
  <si>
    <t>Refabricated in 2020 w/ updated text. 1932 Location:  N. end of bridge which crosses Red Clay Creek at Marshallton</t>
  </si>
  <si>
    <t>1932, 7/26/2020</t>
  </si>
  <si>
    <t>https://archives.delaware.gov/delaware-historical-markers/washingtons-earthworks/</t>
  </si>
  <si>
    <t>https://archives.delaware.gov/wp-content/uploads/sites/156/2019/06/ncc-33-2.jpg</t>
  </si>
  <si>
    <t xml:space="preserve">NCC-034 </t>
  </si>
  <si>
    <t>Robert Kirkwood, Jr.</t>
  </si>
  <si>
    <t>2/14/2024 - CM-S
10/25/2024 - CM-S</t>
  </si>
  <si>
    <t>39.71046</t>
  </si>
  <si>
    <t>-75.67926</t>
  </si>
  <si>
    <t>6000 Kirkwood Hwy</t>
  </si>
  <si>
    <t>https://archives.delaware.gov/delaware-historical-markers/robert-kirkwood-jr/</t>
  </si>
  <si>
    <t>https://archives.delaware.gov/wp-content/uploads/sites/156/2019/06/ncc-34-25.jpg</t>
  </si>
  <si>
    <t xml:space="preserve">NCC-035 </t>
  </si>
  <si>
    <t>Newark Academy</t>
  </si>
  <si>
    <t>3/8/2023 - CM-S 8/16/2023 - CM-S 12/26/2024 - CM-S</t>
  </si>
  <si>
    <t>8/29/2023 - CM-S</t>
  </si>
  <si>
    <t>39.68326</t>
  </si>
  <si>
    <t>-75.74923</t>
  </si>
  <si>
    <t>95 E. Main Street</t>
  </si>
  <si>
    <t>Newark</t>
  </si>
  <si>
    <t>https://archives.delaware.gov/delaware-historical-markers/newark-academy/</t>
  </si>
  <si>
    <t>https://archives.delaware.gov/wp-content/uploads/sites/156/2019/06/ncc-035-25.jpg</t>
  </si>
  <si>
    <t xml:space="preserve">NCC-036 </t>
  </si>
  <si>
    <t>The Wedge</t>
  </si>
  <si>
    <t>8/16/2023 - CM-S 1/30/2024 - VLM 6/26/2024-CM-S</t>
  </si>
  <si>
    <t>39.71781</t>
  </si>
  <si>
    <t>-75.78480</t>
  </si>
  <si>
    <t>954 New London Road</t>
  </si>
  <si>
    <t>Acreage incorrect, new marker ordered 2022. New marker Installed 1/20/2024.</t>
  </si>
  <si>
    <t>1989, 2023</t>
  </si>
  <si>
    <t xml:space="preserve">NCC-037 </t>
  </si>
  <si>
    <t>1/30/2024-VLM 2/14/2024 - CM-S</t>
  </si>
  <si>
    <t>39.69374</t>
  </si>
  <si>
    <t xml:space="preserve"> -75.78503</t>
  </si>
  <si>
    <t>1100 Nottingham Road</t>
  </si>
  <si>
    <t>Head of Christiana Cemetery Susan Brook hoccemetery@gmail.com 302-598-0770</t>
  </si>
  <si>
    <t>Missing until 2022.  Info corrected by Director,  new marker ordered 2022. New location on corner of church property - Head of Christana Presbyterian. New marker installed 1/30/2024.</t>
  </si>
  <si>
    <t>https://archives.delaware.gov/delaware-historical-markers/the-wedge/</t>
  </si>
  <si>
    <t>https://archives.delaware.gov/wp-content/uploads/sites/156/2019/06/nc-37-25.jpg</t>
  </si>
  <si>
    <t xml:space="preserve">NCC-038 </t>
  </si>
  <si>
    <t>Mason &amp; Dixon's Tangent Stone</t>
  </si>
  <si>
    <t>39.649827</t>
  </si>
  <si>
    <t>-75.78877</t>
  </si>
  <si>
    <t>2 mi. SW of Newark E. side of Lincoln Hwy at Delaware/MD Hwy</t>
  </si>
  <si>
    <t>Missing per Floppy</t>
  </si>
  <si>
    <t xml:space="preserve">NCC-039 </t>
  </si>
  <si>
    <t>Welsh Tract</t>
  </si>
  <si>
    <t>39.651639</t>
  </si>
  <si>
    <t>-75.749856</t>
  </si>
  <si>
    <t>West side of hwy .7 mi. South of Main Street on College Avenue (Depot Road)1030 South College Avenue</t>
  </si>
  <si>
    <t>Street address approx per CM-S - NEEDS Verification</t>
  </si>
  <si>
    <t xml:space="preserve">NCC-040 </t>
  </si>
  <si>
    <t>Welsh Tract Church</t>
  </si>
  <si>
    <t>39.65049</t>
  </si>
  <si>
    <t>-75.75171</t>
  </si>
  <si>
    <t xml:space="preserve">2.5 mi. S. of Newark W. side of Newark to Middletown Road  at Intersection of Baptist Church Road  </t>
  </si>
  <si>
    <t>Contacted property - TR / Location needs checked - marker doesn't seem to have been at church</t>
  </si>
  <si>
    <t xml:space="preserve">NCC-041 </t>
  </si>
  <si>
    <t>American Position Battle of Cooch's Bridge</t>
  </si>
  <si>
    <t xml:space="preserve">3/8/2023 - CM-S 10/25/2024 - CM-S
</t>
  </si>
  <si>
    <t>39.64098</t>
  </si>
  <si>
    <t>-75.73234</t>
  </si>
  <si>
    <t>Cooch's Bridge Battlefield, South Old Baltimore Pike</t>
  </si>
  <si>
    <t>2008, 2024</t>
  </si>
  <si>
    <t>https://archives.delaware.gov/delaware-historical-markers/american-position-battle-of-coochs-bridge/</t>
  </si>
  <si>
    <t>https://archives.delaware.gov/wp-content/uploads/sites/156/2025/10/nc-41-25.jpg</t>
  </si>
  <si>
    <t xml:space="preserve">NCC-042 </t>
  </si>
  <si>
    <t>British Position, Battle of Cooch's Bridge</t>
  </si>
  <si>
    <t>3/8/2023 - CM-S 10/25/2024 - CM-S</t>
  </si>
  <si>
    <t>39.63258</t>
  </si>
  <si>
    <t>-75.73541</t>
  </si>
  <si>
    <t>801 Eggerts Lane</t>
  </si>
  <si>
    <t>https://archives.delaware.gov/delaware-historical-markers/british-position/</t>
  </si>
  <si>
    <t>https://archives.delaware.gov/wp-content/uploads/sites/156/2025/11/nc-42-25.jpg</t>
  </si>
  <si>
    <t xml:space="preserve">NCC-043 </t>
  </si>
  <si>
    <t>Aiken's Tavern</t>
  </si>
  <si>
    <t>Replaced with NCC-142 in 2004</t>
  </si>
  <si>
    <t>-75.74596</t>
  </si>
  <si>
    <t>2221 Glasgow Avenue</t>
  </si>
  <si>
    <t>Original replaced with NCC-142 Aiken's Tavern Historic District in 2004</t>
  </si>
  <si>
    <t xml:space="preserve">NCC-044 </t>
  </si>
  <si>
    <t>39.592069</t>
  </si>
  <si>
    <t>-75.741292</t>
  </si>
  <si>
    <t>E. side of Highway from Newark to Middletown</t>
  </si>
  <si>
    <t xml:space="preserve">NCC-045 </t>
  </si>
  <si>
    <t>Washington Dined Here</t>
  </si>
  <si>
    <t>Missing per site visit 5/5/2022 - CM-S</t>
  </si>
  <si>
    <t>39.53919</t>
  </si>
  <si>
    <t>-75.72566</t>
  </si>
  <si>
    <t>501 Old Summit Bridge Rd</t>
  </si>
  <si>
    <t>Marker was at former location of Buck Tavern before building was moved to Lums Pond State Park. Missing per Floppy.</t>
  </si>
  <si>
    <t xml:space="preserve">NCC-046 </t>
  </si>
  <si>
    <t>Samuel Davies</t>
  </si>
  <si>
    <t>39.55086</t>
  </si>
  <si>
    <t>-75.71223</t>
  </si>
  <si>
    <t>3161 Red Lion Road</t>
  </si>
  <si>
    <t>Bear</t>
  </si>
  <si>
    <t xml:space="preserve">NCC-047 </t>
  </si>
  <si>
    <t>5/5/2022 - CM-S
10/25/2024 - CM-S</t>
  </si>
  <si>
    <t>4361 Summit Bridge Road</t>
  </si>
  <si>
    <t>See NCC-039, Welsh Tract and NCC-040, Welsh Tract Church</t>
  </si>
  <si>
    <t>https://archives.delaware.gov/delaware-historical-markers/welsh-tract-47/</t>
  </si>
  <si>
    <t>https://archives.delaware.gov/wp-content/uploads/sites/156/2019/06/ncc_047.jpg</t>
  </si>
  <si>
    <t xml:space="preserve">NCC-048 </t>
  </si>
  <si>
    <t>Caeser Rodney's Camp 1777</t>
  </si>
  <si>
    <t>5390 Summitt Bridge Rd</t>
  </si>
  <si>
    <t>Townsend</t>
  </si>
  <si>
    <t>N. side of road running east from Newark to Middletown Hwy at Noxontown Lake. Missing per Floppy.</t>
  </si>
  <si>
    <t xml:space="preserve">NCC-049 </t>
  </si>
  <si>
    <t>Washington's Fortifications</t>
  </si>
  <si>
    <t>39.71647</t>
  </si>
  <si>
    <t>-75.65121</t>
  </si>
  <si>
    <t>4534 Tarry Lane</t>
  </si>
  <si>
    <t>Wilmington and Elkton Turnpike, 5 miles from Wilmington, east side of road.  Reviewed location with robin brown. Missing per Floppy.</t>
  </si>
  <si>
    <t xml:space="preserve">NCC-050 </t>
  </si>
  <si>
    <t>Meeting Place Of Washington's Officers</t>
  </si>
  <si>
    <t>Replaced with Hale-Byrnes House in 1973 (NCC-050)</t>
  </si>
  <si>
    <t>39.70145</t>
  </si>
  <si>
    <t>-75.65071</t>
  </si>
  <si>
    <t>5.5 miles south of Wilmington, State Route 7 at intersection of Ogletown Road (Route 4). (Approx 500 Stanton-Christiana Road)</t>
  </si>
  <si>
    <t>Hale-Byrnes House (Originally: Meeting Place of Washington's Officers - Changed in 1973</t>
  </si>
  <si>
    <t>3/8/2023 - CM-S
10/25/2024 - CM-S</t>
  </si>
  <si>
    <t>6/21/2023 - CM-S</t>
  </si>
  <si>
    <t>606 Stanton-Christiana Road</t>
  </si>
  <si>
    <t>1973, Marker refinished March 2019</t>
  </si>
  <si>
    <t>1973, 2019</t>
  </si>
  <si>
    <t>https://archives.delaware.gov/delaware-historical-markers/hale-byrnes-house/</t>
  </si>
  <si>
    <t>https://archives.delaware.gov/wp-content/uploads/sites/156/2019/06/ncc-50-2.jpg</t>
  </si>
  <si>
    <t xml:space="preserve">NCC-051 </t>
  </si>
  <si>
    <t>Lafayette</t>
  </si>
  <si>
    <t>5/5/2022 - CM-S 6/26/2024 - CM-S</t>
  </si>
  <si>
    <t>39.66370</t>
  </si>
  <si>
    <t>-75.65629</t>
  </si>
  <si>
    <t>Lewden-Greene Park, 400 Christiana Road</t>
  </si>
  <si>
    <t>See Website finalization form for additional details regarding 2018 reinstall location.</t>
  </si>
  <si>
    <t>https://archives.delaware.gov/delaware-historical-markers/lafayette/</t>
  </si>
  <si>
    <t>https://archives.delaware.gov/wp-content/uploads/sites/156/2019/06/ncc051.jpg</t>
  </si>
  <si>
    <t xml:space="preserve">NCC-052 </t>
  </si>
  <si>
    <t>Samuel Patterson</t>
  </si>
  <si>
    <t>3/8/2023 - CM-S  10/2/2024 - CM-S</t>
  </si>
  <si>
    <t>35 West Main Street</t>
  </si>
  <si>
    <t>Christiana</t>
  </si>
  <si>
    <t>Marker refurbished and reinstalled July 2024.</t>
  </si>
  <si>
    <t>1967, 2012, 2024</t>
  </si>
  <si>
    <t>https://archives.delaware.gov/delaware-historical-markers/samuel-patterson/</t>
  </si>
  <si>
    <t>https://archives.delaware.gov/wp-content/uploads/sites/156/2019/06/nc-52-25.jpg</t>
  </si>
  <si>
    <t xml:space="preserve">NCC-053 </t>
  </si>
  <si>
    <t>Washington's Reconnaissance</t>
  </si>
  <si>
    <t>3/8/2023 - CM-S</t>
  </si>
  <si>
    <t>3/7/2024 - VLM</t>
  </si>
  <si>
    <t>39.63311</t>
  </si>
  <si>
    <t>-75.74980</t>
  </si>
  <si>
    <t>1249 Old Baltimore Pike</t>
  </si>
  <si>
    <t>https://archives.delaware.gov/delaware-historical-markers/washingtons-reconnaissance/</t>
  </si>
  <si>
    <t>https://archives.delaware.gov/wp-content/uploads/sites/156/2019/06/ncc-053-2.jpg</t>
  </si>
  <si>
    <t xml:space="preserve">NCC-054 </t>
  </si>
  <si>
    <t>Iron Hill</t>
  </si>
  <si>
    <t>MISSING 3/8/23 - CM-S</t>
  </si>
  <si>
    <t>39.630216</t>
  </si>
  <si>
    <t>-75.760350</t>
  </si>
  <si>
    <t>1400 South Old Baltimore Pike</t>
  </si>
  <si>
    <t>1.5 miles west of Cooch's Bridge on north side of Wilmington and Elkton Turnpike at intersection of road over Summit of Iron Hill.  – East of Wittaker Road &amp; North side of S. Old Baltimore Pike</t>
  </si>
  <si>
    <t xml:space="preserve">NCC-055 </t>
  </si>
  <si>
    <t>Mason Dixon Line</t>
  </si>
  <si>
    <t>MISSING - CM-S</t>
  </si>
  <si>
    <t>39.621709</t>
  </si>
  <si>
    <t>-75.786338</t>
  </si>
  <si>
    <t>1785 South Old Baltimore Pike</t>
  </si>
  <si>
    <t>2.8 mi. W. of Cooch's Bridge N. side of Wilmington &amp; Elkton Tpke at State Line</t>
  </si>
  <si>
    <t xml:space="preserve">NCC-056 </t>
  </si>
  <si>
    <t>Bethel Church (Hare's Corner)</t>
  </si>
  <si>
    <t>Missing per records</t>
  </si>
  <si>
    <t>39.66513</t>
  </si>
  <si>
    <t>-75.61568</t>
  </si>
  <si>
    <t>162 Christiana Road B</t>
  </si>
  <si>
    <t>N. side of hwy. Hares Corner to Christiana 1 mi. W. of US 13</t>
  </si>
  <si>
    <t xml:space="preserve">NCC-057 </t>
  </si>
  <si>
    <t>The Bear</t>
  </si>
  <si>
    <t>5/5/2023 - CM-S</t>
  </si>
  <si>
    <t>39.624415</t>
  </si>
  <si>
    <t>-75.680261</t>
  </si>
  <si>
    <t>1415 Pulaski Highway</t>
  </si>
  <si>
    <t>Rt. 40 to Elkton N. side 4 mi. W. of Rt. 13 / 1415 Pulaski Highway</t>
  </si>
  <si>
    <t xml:space="preserve">NCC-058 </t>
  </si>
  <si>
    <t>Pencader Church</t>
  </si>
  <si>
    <t>SEE NCC-124</t>
  </si>
  <si>
    <t>39.606206</t>
  </si>
  <si>
    <t>-75.745289</t>
  </si>
  <si>
    <t xml:space="preserve">2315 Glasgow Avenue </t>
  </si>
  <si>
    <t xml:space="preserve">NCC-059 </t>
  </si>
  <si>
    <t>Old Feeder Canal</t>
  </si>
  <si>
    <t>39.605219</t>
  </si>
  <si>
    <t>-75.769705</t>
  </si>
  <si>
    <t>2905 Pulaski Highway</t>
  </si>
  <si>
    <t>U.S. Route No. 40 to Elkton.  10 miles west of U.S. Route No. 13, and 1.5 miles west of Glasgow.</t>
  </si>
  <si>
    <t xml:space="preserve">NCC-060 </t>
  </si>
  <si>
    <t>du Pont Powder Mills</t>
  </si>
  <si>
    <t>2/9/2024 - CM-S
10/30/2024 - CM-S</t>
  </si>
  <si>
    <t>10/28/2024 -  VLM</t>
  </si>
  <si>
    <t>39.77334</t>
  </si>
  <si>
    <t>-75.57885</t>
  </si>
  <si>
    <t>200 Hagley Creek Road</t>
  </si>
  <si>
    <t>Hagley Museum</t>
  </si>
  <si>
    <t xml:space="preserve">Mike Adams, Hagley Museum </t>
  </si>
  <si>
    <t>Marker replaced 2023. Permission given to put on Hagley property. Marker installed 1/20/2024.</t>
  </si>
  <si>
    <t>https://archives.delaware.gov/delaware-historical-markers/dupont-powder-mills/</t>
  </si>
  <si>
    <t>https://archives.delaware.gov/wp-content/uploads/sites/156/2019/06/ncc-60-24.jpg</t>
  </si>
  <si>
    <t xml:space="preserve">NCC-061 </t>
  </si>
  <si>
    <t>39.72835</t>
  </si>
  <si>
    <t>-75.55591</t>
  </si>
  <si>
    <t>744 US Business 13</t>
  </si>
  <si>
    <t>Intersection of Business 13 &amp; S. Walnut Street</t>
  </si>
  <si>
    <t xml:space="preserve">NCC-062 </t>
  </si>
  <si>
    <t>39.731195</t>
  </si>
  <si>
    <t>-75.542437</t>
  </si>
  <si>
    <t>302 Townsend Street</t>
  </si>
  <si>
    <t>Rt. 13 and New Castle Avenue  S. of 4th Street Bridge</t>
  </si>
  <si>
    <t xml:space="preserve">NCC-063 </t>
  </si>
  <si>
    <t>39.753559</t>
  </si>
  <si>
    <t>-75.522025</t>
  </si>
  <si>
    <t>3499 Northeast Blvd</t>
  </si>
  <si>
    <t>Intersection of 13 and 35th street</t>
  </si>
  <si>
    <t xml:space="preserve">NCC-064 </t>
  </si>
  <si>
    <t>39.761575</t>
  </si>
  <si>
    <t>15 West Lea Blvd.</t>
  </si>
  <si>
    <t>Intersection of Lea Blvd and Business 13</t>
  </si>
  <si>
    <t xml:space="preserve">NCC-065 </t>
  </si>
  <si>
    <t>39.761611</t>
  </si>
  <si>
    <t>-75.542412</t>
  </si>
  <si>
    <t>800 DE 202</t>
  </si>
  <si>
    <t>Intersection of Rt 202 and Baynard Blvd.</t>
  </si>
  <si>
    <t xml:space="preserve">NCC-066 </t>
  </si>
  <si>
    <t>39.769608</t>
  </si>
  <si>
    <t>-75.588456</t>
  </si>
  <si>
    <t>3506 Kennett Pike</t>
  </si>
  <si>
    <t>South side of Kennett Pike, State Route 52 at Intersection of Dupont Road - Road 100</t>
  </si>
  <si>
    <t xml:space="preserve">NCC-067 </t>
  </si>
  <si>
    <t>39.752067</t>
  </si>
  <si>
    <t>-75.587680</t>
  </si>
  <si>
    <t>3300 Lancaster Pike</t>
  </si>
  <si>
    <t>South side of Lancaster Avenue, Outside of Silverbrook Cememtery enterance</t>
  </si>
  <si>
    <t>https://archives.delaware.gov/delaware-historical-markers/wilmington-67/</t>
  </si>
  <si>
    <t>https://archives.delaware.gov/wp-content/uploads/sites/156/2025/11/nc-67-25.jpg</t>
  </si>
  <si>
    <t xml:space="preserve">NCC-068 </t>
  </si>
  <si>
    <t>39.742076</t>
  </si>
  <si>
    <t>-75.578365</t>
  </si>
  <si>
    <t>621 Union Street</t>
  </si>
  <si>
    <t>Route 2 Split, within Barry &amp; Union Triangle</t>
  </si>
  <si>
    <t xml:space="preserve">NCC-069 </t>
  </si>
  <si>
    <t>39.729750</t>
  </si>
  <si>
    <t>-75.583975</t>
  </si>
  <si>
    <t>208 North Maryland Avenue</t>
  </si>
  <si>
    <t>Intersection of Rt 4 and Rt 100.</t>
  </si>
  <si>
    <t xml:space="preserve">NCC-070 </t>
  </si>
  <si>
    <t>Swanwyck</t>
  </si>
  <si>
    <t>39.661643</t>
  </si>
  <si>
    <t>-75.558511</t>
  </si>
  <si>
    <t xml:space="preserve">Old Ferry Piers at foot of Chestnut Street </t>
  </si>
  <si>
    <t xml:space="preserve">NCC-071 </t>
  </si>
  <si>
    <t>Oliver Evans (1755-1819), Inventor and Engineer</t>
  </si>
  <si>
    <t xml:space="preserve"> 10/2/2024 - CM-S</t>
  </si>
  <si>
    <t>39.71433</t>
  </si>
  <si>
    <t>-75.60602</t>
  </si>
  <si>
    <t>5 South Augustine Street</t>
  </si>
  <si>
    <t>Newport</t>
  </si>
  <si>
    <t>Bicentennial Memorial Park</t>
  </si>
  <si>
    <t>Wendy King, Town of Newport wendyking99@yahoo.com 302-994-6403</t>
  </si>
  <si>
    <t>Reinstalled after refurbishment (auto accident) 8/5/2024.</t>
  </si>
  <si>
    <t>1966, 2012, 2024</t>
  </si>
  <si>
    <t>https://archives.delaware.gov/delaware-historical-markers/oliver-evans/</t>
  </si>
  <si>
    <t>https://archives.delaware.gov/wp-content/uploads/sites/156/2019/06/nc-71-25.jpg</t>
  </si>
  <si>
    <t xml:space="preserve">NCC-072 </t>
  </si>
  <si>
    <t>Duncan Beard</t>
  </si>
  <si>
    <t>10/25/2023 - CM-S
10/25/2024 - CM-S</t>
  </si>
  <si>
    <t>39.44038</t>
  </si>
  <si>
    <t>-75.64384</t>
  </si>
  <si>
    <t>511 Old State Road</t>
  </si>
  <si>
    <t>Marker repainted between 2011 and 2016</t>
  </si>
  <si>
    <t>https://archives.delaware.gov/delaware-historical-markers/duncan-beard/</t>
  </si>
  <si>
    <t>https://archives.delaware.gov/wp-content/uploads/sites/156/2025/10/nc-72-25.jpg</t>
  </si>
  <si>
    <t xml:space="preserve">NCC-073 </t>
  </si>
  <si>
    <t>The River Road</t>
  </si>
  <si>
    <t>9/12/2023 - CM-S 2/14/2024 - CM-S 10/30/2024 - CM-S</t>
  </si>
  <si>
    <t>39.65934</t>
  </si>
  <si>
    <t>-75.56839</t>
  </si>
  <si>
    <t>508 South Street, Historic New Castle</t>
  </si>
  <si>
    <t xml:space="preserve"> Bylers Industrial Services</t>
  </si>
  <si>
    <t>Marker between Bylers building and their parking lot</t>
  </si>
  <si>
    <t>https://archives.delaware.gov/delaware-historical-markers/shipwreck-of-the-faithful-steward/</t>
  </si>
  <si>
    <t>https://archives.delaware.gov/wp-content/uploads/sites/156/2025/10/sc-73-25.jpg</t>
  </si>
  <si>
    <t xml:space="preserve">NCC-074 </t>
  </si>
  <si>
    <t>Old St. Anne's (P.E. Church)</t>
  </si>
  <si>
    <t>4/28/2022 - CM-S 10/25/2023 - CM-S 1/23/2024 - CM-S</t>
  </si>
  <si>
    <t>39.43576</t>
  </si>
  <si>
    <t>-75.71262</t>
  </si>
  <si>
    <t>105 St Annes Church Road</t>
  </si>
  <si>
    <t>Sent 11/2021 for Destruction. Replaced 2018.</t>
  </si>
  <si>
    <t>https://archives.delaware.gov/delaware-historical-markers/old-st-annes-p-e-church/</t>
  </si>
  <si>
    <t>https://archives.delaware.gov/wp-content/uploads/sites/156/2019/06/NCC_074.jpg</t>
  </si>
  <si>
    <t xml:space="preserve">NCC-075 </t>
  </si>
  <si>
    <t>Presbyterian Church</t>
  </si>
  <si>
    <t>7/12/2023 - CM-S 2/14/2024 - CM-S 10/30/2024 - CM-S</t>
  </si>
  <si>
    <t>39.65983</t>
  </si>
  <si>
    <t>-75.56278</t>
  </si>
  <si>
    <t>https://archives.delaware.gov/delaware-historical-markers/presbyterian-church-old-new-castle/</t>
  </si>
  <si>
    <t>https://archives.delaware.gov/wp-content/uploads/sites/156/2019/06/ncc-075.jpg</t>
  </si>
  <si>
    <t xml:space="preserve">NCC-076 </t>
  </si>
  <si>
    <t>Meeting House 1816 Religious Society of Friends</t>
  </si>
  <si>
    <t>8/22/2023 - CM-S 10/2/2024 - CM-S</t>
  </si>
  <si>
    <t>8/5/2024 - VLM</t>
  </si>
  <si>
    <t>Public Archives Commission, 1959</t>
  </si>
  <si>
    <t>39.74190</t>
  </si>
  <si>
    <t>-75.55433</t>
  </si>
  <si>
    <t>301 N. West Street Marker is on 4th St side of property.</t>
  </si>
  <si>
    <t>https://archives.delaware.gov/delaware-historical-markers/meeting-house-1816-religious-society-of-friends/</t>
  </si>
  <si>
    <t>https://archives.delaware.gov/wp-content/uploads/sites/156/2019/06/ncc-76-24.jpg</t>
  </si>
  <si>
    <t xml:space="preserve">NCC-077 </t>
  </si>
  <si>
    <t>First Presbyterian Church</t>
  </si>
  <si>
    <t>7/12/2023 - CM-S 2/9/2024 - CM-S</t>
  </si>
  <si>
    <t>39.75094</t>
  </si>
  <si>
    <t>-75.54801</t>
  </si>
  <si>
    <t>1420 N. West Street</t>
  </si>
  <si>
    <t>https://archives.delaware.gov/delaware-historical-markers/presbyterian-church/</t>
  </si>
  <si>
    <t>https://archives.delaware.gov/wp-content/uploads/sites/156/2019/06/ncc-77-2.jpg</t>
  </si>
  <si>
    <t xml:space="preserve">NCC-078 </t>
  </si>
  <si>
    <t>Camp Brandywine</t>
  </si>
  <si>
    <t>2/9/2024 - CM-S 6/26/2024 - CM-S</t>
  </si>
  <si>
    <t>7/24/2024 - VLM</t>
  </si>
  <si>
    <t>Civil War Centennial Commission, 1966</t>
  </si>
  <si>
    <t>39.77501</t>
  </si>
  <si>
    <t>-75.59473</t>
  </si>
  <si>
    <t>3705 Kennett Pike</t>
  </si>
  <si>
    <t>Greenville</t>
  </si>
  <si>
    <t>Post repaired December 2018</t>
  </si>
  <si>
    <t>https://archives.delaware.gov/delaware-historical-markers/camp-brandywine/</t>
  </si>
  <si>
    <t>https://archives.delaware.gov/wp-content/uploads/sites/156/2019/06/ncc-78-24.jpg</t>
  </si>
  <si>
    <t xml:space="preserve">NCC-079 </t>
  </si>
  <si>
    <t>Camp DuPont</t>
  </si>
  <si>
    <t>2/9/2024 - CM-S</t>
  </si>
  <si>
    <t>1/21/20226 - VLM</t>
  </si>
  <si>
    <t>39.74575</t>
  </si>
  <si>
    <t>-75.64356</t>
  </si>
  <si>
    <t>3302 Faulkland Road</t>
  </si>
  <si>
    <t>Brandywine Springs Park - Near Faulkland Rd &amp; W. Oakland Drive</t>
  </si>
  <si>
    <t xml:space="preserve">NCC-080 </t>
  </si>
  <si>
    <t>Anthony- Delaware's First Known Black Settler</t>
  </si>
  <si>
    <t xml:space="preserve"> 9/12/2023 - CM-S</t>
  </si>
  <si>
    <t>Historical and Cultural Affairs</t>
  </si>
  <si>
    <t>39.73673</t>
  </si>
  <si>
    <t>-75.53888</t>
  </si>
  <si>
    <t>1110 East 7th Street</t>
  </si>
  <si>
    <t>https://archives.delaware.gov/delaware-historical-markers/anthony-delawares-first-known-black-settler/</t>
  </si>
  <si>
    <t>https://archives.delaware.gov/wp-content/uploads/sites/156/2019/06/nc-80-25.jpg</t>
  </si>
  <si>
    <t xml:space="preserve">NCC-081 </t>
  </si>
  <si>
    <t>John McKinly President (Governor) of Delaware, 1777</t>
  </si>
  <si>
    <t>2/18/2023 - CM-S 7/15/2023 - CM-S 2/9/2024 - CM-S</t>
  </si>
  <si>
    <t>39.75303</t>
  </si>
  <si>
    <t>-75.55018</t>
  </si>
  <si>
    <t>300 South Park Drive</t>
  </si>
  <si>
    <t>Wilmington &amp; Brandwine Cemetery - northern end of cemetery, near S. Park Dr. entrance</t>
  </si>
  <si>
    <t>https://archives.delaware.gov/delaware-historical-markers/john-mckinly-president-governor-of-delaware-1777/</t>
  </si>
  <si>
    <t>https://archives.delaware.gov/wp-content/uploads/sites/156/2019/06/nc-81-2.jpg</t>
  </si>
  <si>
    <t xml:space="preserve">NCC-082 </t>
  </si>
  <si>
    <t>Howard High School - First Secondary School for Blacks</t>
  </si>
  <si>
    <t>1/24/2023 - CM-S
12/6/2023 CM-S</t>
  </si>
  <si>
    <t>State of Delaware Historical Markers Program</t>
  </si>
  <si>
    <t>1301 Clifford Brown Walk</t>
  </si>
  <si>
    <t xml:space="preserve">Marker collar broken.  Needs repair - 2023 - CM-S. Reorder placed with Sewah 5/22/2023. Repair fund. - VLM On next reorder consider adding named National Historic Landmark in 2005. </t>
  </si>
  <si>
    <t>https://archives.delaware.gov/delaware-historical-markers/howard-high-school/</t>
  </si>
  <si>
    <t>https://archives.delaware.gov/wp-content/uploads/sites/156/2019/06/ncc-082-24.jpg</t>
  </si>
  <si>
    <t xml:space="preserve">NCC-083 </t>
  </si>
  <si>
    <t>Eastburn-Jeanes Mining Complex (c. 1816-1900's)</t>
  </si>
  <si>
    <t>39.74082778</t>
  </si>
  <si>
    <t>-75.71443611</t>
  </si>
  <si>
    <t>535 Upper Pike Creek Road</t>
  </si>
  <si>
    <t>https://archives.delaware.gov/delaware-historical-markers/eastburn-jeanes-mining-complex/</t>
  </si>
  <si>
    <t>https://archives.delaware.gov/wp-content/uploads/sites/156/2019/06/ncc-83.jpg</t>
  </si>
  <si>
    <t xml:space="preserve">NCC-084 </t>
  </si>
  <si>
    <t>Gravesite of Bishop Peter Spencer &amp; His Devoted Wife Annes</t>
  </si>
  <si>
    <t>1/23/2023 - CM-S  
10/2/2024 - CM-S</t>
  </si>
  <si>
    <t>Error on recast marker by Reynolds</t>
  </si>
  <si>
    <t>Division of Historical &amp; Cultural Affairs - 1988 / State of Delaware Historic Markers Program - 2022</t>
  </si>
  <si>
    <t>39.74343</t>
  </si>
  <si>
    <t>-75.54730</t>
  </si>
  <si>
    <t>800 North French Street</t>
  </si>
  <si>
    <t>Replacement ordered, 2022</t>
  </si>
  <si>
    <t>https://archives.delaware.gov/delaware-historical-markers/gravesite-of-bishop-peter-spencer-and-his-devoted-wife-annes/</t>
  </si>
  <si>
    <t>https://archives.delaware.gov/wp-content/uploads/sites/156/2019/06/ncc-84-24.jpg</t>
  </si>
  <si>
    <t xml:space="preserve">NCC-085 </t>
  </si>
  <si>
    <t>Ebright Azimuth</t>
  </si>
  <si>
    <t>1/11/2023 - CM-S
10/30/2024 - CM-S</t>
  </si>
  <si>
    <t>Division of Historical &amp; Cultural Affairs - 1989</t>
  </si>
  <si>
    <t>39.83600</t>
  </si>
  <si>
    <t>-75.51901</t>
  </si>
  <si>
    <t>6 Winterset Road</t>
  </si>
  <si>
    <t>No marker file.  Marker Book (Blue) shows NCC-85 as Presbyterian Church - needs research</t>
  </si>
  <si>
    <t>https://archives.delaware.gov/delaware-historical-markers/ebright-azimuth/</t>
  </si>
  <si>
    <t>https://archives.delaware.gov/wp-content/uploads/sites/156/2019/06/ncc_085.jpg</t>
  </si>
  <si>
    <t xml:space="preserve">NCC-086 </t>
  </si>
  <si>
    <t>South Wilmington - Cradle of African American Political Leadership</t>
  </si>
  <si>
    <t>1/21/2023 - DWC 2/15/2023 - CM-S
6/4/2024 - CM-S</t>
  </si>
  <si>
    <t>39.72748</t>
  </si>
  <si>
    <t>-75.54333</t>
  </si>
  <si>
    <t>600 South Claymont Street</t>
  </si>
  <si>
    <t>https://archives.delaware.gov/delaware-historical-markers/south-wilmington-cradle-of-african-american-political-leadership/</t>
  </si>
  <si>
    <t>https://archives.delaware.gov/wp-content/uploads/sites/156/2019/06/ncc-86-24.jpg</t>
  </si>
  <si>
    <t xml:space="preserve">NCC-087 </t>
  </si>
  <si>
    <t>Mount Olive Cemetery</t>
  </si>
  <si>
    <t>8/22/2023 - CM-S
10/25/2024 - CM-S</t>
  </si>
  <si>
    <t>9/6/2023 - CM-S</t>
  </si>
  <si>
    <t>39.75619</t>
  </si>
  <si>
    <t>-75.59780</t>
  </si>
  <si>
    <t>4003 Lancaster Pike</t>
  </si>
  <si>
    <t>Marker destroyed by car accident 2021.  Replacement marker ordered and paid for out of DPA $</t>
  </si>
  <si>
    <t>https://archives.delaware.gov/delaware-historical-markers/mount-olive-cemetery/</t>
  </si>
  <si>
    <t>https://archives.delaware.gov/wp-content/uploads/sites/156/2019/06/ncc-87-2.jpg</t>
  </si>
  <si>
    <t xml:space="preserve">NCC-088 </t>
  </si>
  <si>
    <t>Thomas Garrett Stationmaster Underground Railroad</t>
  </si>
  <si>
    <t>2/15/2023 - CM-S  10/2/2024 - CM-S</t>
  </si>
  <si>
    <t>6/14/2023 - CM_S</t>
  </si>
  <si>
    <t>39.74060</t>
  </si>
  <si>
    <t>-75.55203</t>
  </si>
  <si>
    <t>330 North Shipley Street</t>
  </si>
  <si>
    <t>https://archives.delaware.gov/delaware-historical-markers/thomas-garrett-underground-railroad-stationmaster/</t>
  </si>
  <si>
    <t>https://archives.delaware.gov/wp-content/uploads/sites/156/2019/06/ncc-088.jpg</t>
  </si>
  <si>
    <t xml:space="preserve">NCC-089 </t>
  </si>
  <si>
    <t>Clearfield Farm</t>
  </si>
  <si>
    <t>4/20/2022 - CM-S 2/9/2024 - CM-S</t>
  </si>
  <si>
    <t>39.32787</t>
  </si>
  <si>
    <t>-75.60328</t>
  </si>
  <si>
    <t>875 Smyrna Landing Road</t>
  </si>
  <si>
    <t>Smryna</t>
  </si>
  <si>
    <t>https://archives.delaware.gov/delaware-historical-markers/clearfield-farm/</t>
  </si>
  <si>
    <t>https://archives.delaware.gov/wp-content/uploads/sites/156/2019/06/sc_89.jpg</t>
  </si>
  <si>
    <t xml:space="preserve">NCC-090 </t>
  </si>
  <si>
    <t>Appoquinimink Friends Meeting House</t>
  </si>
  <si>
    <t>4/28/2022 - CM-S 1/23/2024 - CM-S</t>
  </si>
  <si>
    <t>39.45760</t>
  </si>
  <si>
    <t>-75.66262</t>
  </si>
  <si>
    <t>624 Main Street</t>
  </si>
  <si>
    <t>Appoquinimink Friends Quaker Meeting Underground Railroad Site</t>
  </si>
  <si>
    <t>Kate O'Donnell, Clerk kateinmaryland@atlanticbb.net 302-365-1330</t>
  </si>
  <si>
    <t>Across Main Street from Odessa Memorial Park</t>
  </si>
  <si>
    <t>https://archives.delaware.gov/delaware-historical-markers/appoquinimink-friends-meeting-house/</t>
  </si>
  <si>
    <t>https://archives.delaware.gov/wp-content/uploads/sites/156/2019/06/ncc_090_2.jpg</t>
  </si>
  <si>
    <t xml:space="preserve">NCC-091 </t>
  </si>
  <si>
    <t>The Darley House</t>
  </si>
  <si>
    <t>3/16/2023 - CM-S 10/25/2024 - CM-S</t>
  </si>
  <si>
    <t>Delaware State Archives</t>
  </si>
  <si>
    <t>39.80484</t>
  </si>
  <si>
    <t>-75.45464</t>
  </si>
  <si>
    <t>3715 Philadelphia Pike</t>
  </si>
  <si>
    <t>Edgar Allan Poe misspelled. Noted 12/30/2025.</t>
  </si>
  <si>
    <t>https://archives.delaware.gov/delaware-historical-markers/darley-house/</t>
  </si>
  <si>
    <t>https://archives.delaware.gov/wp-content/uploads/sites/156/2025/12/nc-91-25.jpg</t>
  </si>
  <si>
    <t xml:space="preserve">NCC-092 </t>
  </si>
  <si>
    <t>The Village of Arden</t>
  </si>
  <si>
    <t>39.80972</t>
  </si>
  <si>
    <t>-75.48701</t>
  </si>
  <si>
    <t>1777 Harvey Road</t>
  </si>
  <si>
    <t>Arden</t>
  </si>
  <si>
    <t>Needs cleaning</t>
  </si>
  <si>
    <t>https://archives.delaware.gov/delaware-historical-markers/village-of-arden/</t>
  </si>
  <si>
    <t>https://archives.delaware.gov/wp-content/uploads/sites/156/2019/06/nc-92.jpg</t>
  </si>
  <si>
    <t xml:space="preserve">NCC-093 </t>
  </si>
  <si>
    <t>Taylor's Bridge School (District No. 66)</t>
  </si>
  <si>
    <t>12/5/2022 - DWC 1/23/2024 - CM-S</t>
  </si>
  <si>
    <t>39.40546</t>
  </si>
  <si>
    <t>-75.58855</t>
  </si>
  <si>
    <t>121 Fleming Landing Road</t>
  </si>
  <si>
    <t>https://archives.delaware.gov/delaware-historical-markers/taylors-bridge-school/</t>
  </si>
  <si>
    <t>https://archives.delaware.gov/wp-content/uploads/sites/156/2019/06/ncc_093.jpg</t>
  </si>
  <si>
    <t xml:space="preserve">NCC-094 </t>
  </si>
  <si>
    <t>Saint Joseph Church</t>
  </si>
  <si>
    <t>3/16/2023 - CM-S  10/2/2024 - CM-S</t>
  </si>
  <si>
    <t>39.74529</t>
  </si>
  <si>
    <t>-75.54558</t>
  </si>
  <si>
    <t>1012 North French Street</t>
  </si>
  <si>
    <t>St. Joseph Catholic Church</t>
  </si>
  <si>
    <t xml:space="preserve"> 302-658-4535</t>
  </si>
  <si>
    <t>https://archives.delaware.gov/delaware-historical-markers/st-joseph-church/</t>
  </si>
  <si>
    <t>https://archives.delaware.gov/wp-content/uploads/sites/156/2019/06/ncc-094-24.jpg</t>
  </si>
  <si>
    <t xml:space="preserve">NCC-095 </t>
  </si>
  <si>
    <t>The Home of William Julius "Judy" Johnson</t>
  </si>
  <si>
    <t>1/21/2023 - DWC 2/14/2024 - CM-S</t>
  </si>
  <si>
    <t>Rep. Robert "Bob" F. Gilligan</t>
  </si>
  <si>
    <t>39.72842</t>
  </si>
  <si>
    <t>-75.63290</t>
  </si>
  <si>
    <t>3701 Kiamensi Road</t>
  </si>
  <si>
    <t>https://archives.delaware.gov/delaware-historical-markers/home-william-julius-judy-johnson/</t>
  </si>
  <si>
    <t>https://archives.delaware.gov/wp-content/uploads/sites/156/2025/01/ncc-95-25.jpg</t>
  </si>
  <si>
    <t xml:space="preserve">NCC-096 </t>
  </si>
  <si>
    <t>Ashley Mansion</t>
  </si>
  <si>
    <t>2/14/2024 - CM-S</t>
  </si>
  <si>
    <t>39.72976</t>
  </si>
  <si>
    <t>-75.58387</t>
  </si>
  <si>
    <t xml:space="preserve">NCC-097 </t>
  </si>
  <si>
    <t>Delaware City School No. 118C</t>
  </si>
  <si>
    <t>5/12/2022 - CM-S</t>
  </si>
  <si>
    <t>39.57232</t>
  </si>
  <si>
    <t>-75.60099</t>
  </si>
  <si>
    <t>611 Madison Street</t>
  </si>
  <si>
    <t>Delaware City</t>
  </si>
  <si>
    <t>https://archives.delaware.gov/delaware-historical-markers/delaware-city-school-118c/</t>
  </si>
  <si>
    <t>https://archives.delaware.gov/wp-content/uploads/sites/156/2019/06/ncc_097.jpg</t>
  </si>
  <si>
    <t xml:space="preserve">NCC-098 </t>
  </si>
  <si>
    <t>Christiana United Methodist Church</t>
  </si>
  <si>
    <t xml:space="preserve"> 6/26/2024 - CM-S
10/25/2024 - CM-S</t>
  </si>
  <si>
    <t>39.66617</t>
  </si>
  <si>
    <t>-75.66173</t>
  </si>
  <si>
    <t>21 West Main Street</t>
  </si>
  <si>
    <t xml:space="preserve">NCC-099 </t>
  </si>
  <si>
    <t>Old Claymont High School</t>
  </si>
  <si>
    <t>3/16/2023 - CM-S 4/11/2024 - CM-S</t>
  </si>
  <si>
    <t>39.80229</t>
  </si>
  <si>
    <t>-75.46471</t>
  </si>
  <si>
    <t>3301 Green Street</t>
  </si>
  <si>
    <t>https://archives.delaware.gov/delaware-historical-markers/old-claymont-high-school/</t>
  </si>
  <si>
    <t>https://archives.delaware.gov/wp-content/uploads/sites/156/2019/06/ncc-099-2.jpg</t>
  </si>
  <si>
    <t xml:space="preserve">NCC-100 </t>
  </si>
  <si>
    <t>Christ Episcopal Church, Delaware City</t>
  </si>
  <si>
    <t>39.57513</t>
  </si>
  <si>
    <t>-75.59251</t>
  </si>
  <si>
    <t>222 Clinton Street</t>
  </si>
  <si>
    <t xml:space="preserve">NCC-101 </t>
  </si>
  <si>
    <t>Brandywine Village</t>
  </si>
  <si>
    <t>3/16/2023 - CM-S 9/12/2023 - CM-S 2/9/2024 - CM-S 12/26/2024 - CM-S</t>
  </si>
  <si>
    <t>39.75106</t>
  </si>
  <si>
    <t>-75.54317</t>
  </si>
  <si>
    <t>2 Race Street</t>
  </si>
  <si>
    <t xml:space="preserve">NCC-102 </t>
  </si>
  <si>
    <t>Bethel A.M.E. Church</t>
  </si>
  <si>
    <t>2/15/2023 - CM-S 8/22/2023 - CM-S  6/4/2024 - CM-S  10/2/2024 - CM-S</t>
  </si>
  <si>
    <t>Senator Robert I. Marshall</t>
  </si>
  <si>
    <t>39.74102</t>
  </si>
  <si>
    <t>-75.54729</t>
  </si>
  <si>
    <t>604 North Walnut Street</t>
  </si>
  <si>
    <t xml:space="preserve">NCC-103 </t>
  </si>
  <si>
    <t>Long Hook (Home of Major Peter Jaquett)</t>
  </si>
  <si>
    <t>6/4/2024 - CM-S  10/2/2024 - CM-S</t>
  </si>
  <si>
    <t>1997 - Rep. Arthur L. Scott, 3rd Dist.
2024 - State of Delaware Historical Markers Program</t>
  </si>
  <si>
    <t>39.72838</t>
  </si>
  <si>
    <t>-75.55835</t>
  </si>
  <si>
    <t>201 New Sweden Street</t>
  </si>
  <si>
    <t>Replacement of NCC-012. Damaged\ Sent 11/2021 for Destruction. Replacement ordered 3/2022. - - - Our markers (1999 Bronze &amp; 2022 Replacement) say birth year is 1754.  – everything else (including original 1932 marker) say birth year is 1755. - VLM 6/10/2024</t>
  </si>
  <si>
    <t>1999, 2024</t>
  </si>
  <si>
    <t>https://archives.delaware.gov/delaware-historical-markers/long-hook-home-of-major-peter-jaquette/</t>
  </si>
  <si>
    <t>https://archives.delaware.gov/wp-content/uploads/sites/156/2019/06/ncc-103-24.jpg</t>
  </si>
  <si>
    <t xml:space="preserve">NCC-104 </t>
  </si>
  <si>
    <t>Ebenezer United Methodist Church</t>
  </si>
  <si>
    <t>8/31/2022 - CM-S 3/8/2023 - CM-S 6/26/2024 - CM-S</t>
  </si>
  <si>
    <t>1999-Unknown. 2025 Rep. Paul Baumbach and Senator David Sokola.</t>
  </si>
  <si>
    <t>39.73396</t>
  </si>
  <si>
    <t>-75.71683</t>
  </si>
  <si>
    <t>525 Polly Drummond Hill Road</t>
  </si>
  <si>
    <t>Church Secretary, Carol Coney newarkebenezerumc@verizon.net 302-731-9495</t>
  </si>
  <si>
    <t>Bronze marker replaced 2025.</t>
  </si>
  <si>
    <t>1999, 2025</t>
  </si>
  <si>
    <t xml:space="preserve">NCC-105 </t>
  </si>
  <si>
    <t>Claymont Stone School</t>
  </si>
  <si>
    <t>3/16/2023 - CM-S 10/30/2024 - CM-S</t>
  </si>
  <si>
    <t>39.80457</t>
  </si>
  <si>
    <t>-75.45442</t>
  </si>
  <si>
    <t>3611 Philadelphia Pike</t>
  </si>
  <si>
    <t>https://archives.delaware.gov/delaware-historical-markers/claymont-stone-school/</t>
  </si>
  <si>
    <t>https://archives.delaware.gov/wp-content/uploads/sites/156/2019/06/nc-105-25.jpg</t>
  </si>
  <si>
    <t xml:space="preserve">NCC-106 </t>
  </si>
  <si>
    <t>Deer Park Hotel</t>
  </si>
  <si>
    <t>39.68302</t>
  </si>
  <si>
    <t>-75.75607</t>
  </si>
  <si>
    <t>108 West Main Street</t>
  </si>
  <si>
    <t>Mounted on wall</t>
  </si>
  <si>
    <t>https://archives.delaware.gov/delaware-historical-markers/deer-park-hotel/</t>
  </si>
  <si>
    <t>https://archives.delaware.gov/wp-content/uploads/sites/156/2022/05/NCC_106.jpg</t>
  </si>
  <si>
    <t xml:space="preserve">NCC-107 </t>
  </si>
  <si>
    <t>Wilmington Friends School</t>
  </si>
  <si>
    <t>7/12/2023 - CM-S</t>
  </si>
  <si>
    <t>39.768448</t>
  </si>
  <si>
    <t>-75.551402</t>
  </si>
  <si>
    <t xml:space="preserve">101 School Road N. </t>
  </si>
  <si>
    <t>Marker is near school on Alapocas Dr. side of building. Number on marker is NC-102 and SHOULD be NCC-107.</t>
  </si>
  <si>
    <t xml:space="preserve">NCC-108 </t>
  </si>
  <si>
    <t>Gibraltar</t>
  </si>
  <si>
    <t>7/12/2023 - CM-S
10/25/2024 - CM-S</t>
  </si>
  <si>
    <t>39.76126</t>
  </si>
  <si>
    <t>-75.57406</t>
  </si>
  <si>
    <t>1405 Greenhill Avenue</t>
  </si>
  <si>
    <t>Mounted on wall. Number on marker is NC-100 and SHOULD be NCC-108.</t>
  </si>
  <si>
    <t xml:space="preserve">NCC-109 </t>
  </si>
  <si>
    <t>Kentmere Parkway</t>
  </si>
  <si>
    <t>10/2/2024 - CM-S 12/26/2024 - CM-S
10/25/2024 - CM-S</t>
  </si>
  <si>
    <t>39.76245</t>
  </si>
  <si>
    <t>-75.56240</t>
  </si>
  <si>
    <t>2000 Kentmere Parkway</t>
  </si>
  <si>
    <t xml:space="preserve">NCC-110 </t>
  </si>
  <si>
    <t>Rockford Tower</t>
  </si>
  <si>
    <t>10/31/2023 - CM-S 8/20/2024 - VLM 10/2/2024 - CM-S</t>
  </si>
  <si>
    <t>11/1/2023 - VLM</t>
  </si>
  <si>
    <t>State of Delaware Historic Markers Program, 2000
Sen. Sarah McBride, 2024</t>
  </si>
  <si>
    <t>39.76721</t>
  </si>
  <si>
    <t>-75.57457</t>
  </si>
  <si>
    <t>2301 Tower Drive</t>
  </si>
  <si>
    <t>Parks had marker cleaned &amp; waxed in May 2020. Bronze replaced 2024.</t>
  </si>
  <si>
    <t>2020, 2024</t>
  </si>
  <si>
    <t>https://archives.delaware.gov/delaware-historical-markers/rockford-tower/</t>
  </si>
  <si>
    <t>https://archives.delaware.gov/wp-content/uploads/sites/156/2019/06/ncc_110_2.jpg</t>
  </si>
  <si>
    <t xml:space="preserve">NCC-111 </t>
  </si>
  <si>
    <t>New Castle United Methodist Church</t>
  </si>
  <si>
    <t xml:space="preserve"> 7/12/2023 - CM-S 2/14/2024 - CM-S 10/30/2024 - CM-S </t>
  </si>
  <si>
    <t>39.66157</t>
  </si>
  <si>
    <t>-75.56642</t>
  </si>
  <si>
    <t>510 Delaware Street</t>
  </si>
  <si>
    <t xml:space="preserve">NCC-112 </t>
  </si>
  <si>
    <t>Scott AME Zion Church</t>
  </si>
  <si>
    <t xml:space="preserve">House of Worship </t>
  </si>
  <si>
    <t>39.73973056</t>
  </si>
  <si>
    <t>-75.54252778</t>
  </si>
  <si>
    <t>629 East 7th Street</t>
  </si>
  <si>
    <t xml:space="preserve">NCC-113 </t>
  </si>
  <si>
    <t>Frank E. Schoonover Studios</t>
  </si>
  <si>
    <t xml:space="preserve">1/18/2024 - CM-S
</t>
  </si>
  <si>
    <t>39.75719</t>
  </si>
  <si>
    <t>-75.55876</t>
  </si>
  <si>
    <t>1616 North Rodney Street</t>
  </si>
  <si>
    <t>https://archives.delaware.gov/delaware-historical-markers/frank-e-schoonover-studios/</t>
  </si>
  <si>
    <t>https://archives.delaware.gov/wp-content/uploads/sites/156/2019/06/ncc_113-2.jpg</t>
  </si>
  <si>
    <t xml:space="preserve">NCC-114 </t>
  </si>
  <si>
    <t>Grace Episcopal Church (Wilmington)</t>
  </si>
  <si>
    <t>7/7/2025 - VLM</t>
  </si>
  <si>
    <t>Sen. Dallas Winslow</t>
  </si>
  <si>
    <t>39.82208</t>
  </si>
  <si>
    <t>-75.54687</t>
  </si>
  <si>
    <t>4900 Concord Pike</t>
  </si>
  <si>
    <t>https://archives.delaware.gov/delaware-historical-markers/grace-episcopal-church/</t>
  </si>
  <si>
    <t>https://archives.delaware.gov/wp-content/uploads/sites/156/2019/06/nc-114-25.jpg</t>
  </si>
  <si>
    <t xml:space="preserve">NCC-115 </t>
  </si>
  <si>
    <t>Head of Christiana Presbyterian Church</t>
  </si>
  <si>
    <t>3/8/2023 - CM-S 8/16/2023 - CM-S 2/14/2024 - CM-S</t>
  </si>
  <si>
    <t>39.69202</t>
  </si>
  <si>
    <t>-75.78652</t>
  </si>
  <si>
    <t xml:space="preserve">1100 Church Road </t>
  </si>
  <si>
    <t>https://archives.delaware.gov/delaware-historical-markers/head-of-christiana-presbyterian-church/</t>
  </si>
  <si>
    <t>https://archives.delaware.gov/wp-content/uploads/sites/156/2019/06/ncc-115.jpg</t>
  </si>
  <si>
    <t xml:space="preserve">NCC-116 </t>
  </si>
  <si>
    <t>R.T. Foard &amp; Jones Funeral Home</t>
  </si>
  <si>
    <t>8/31/2022 - CM-S
3/8/2023 - CM-S</t>
  </si>
  <si>
    <t>Rep. Timothy U. Boulden</t>
  </si>
  <si>
    <t>39.68332</t>
  </si>
  <si>
    <t>-75.75716</t>
  </si>
  <si>
    <t>122 West Main Street</t>
  </si>
  <si>
    <t xml:space="preserve">NCC-117 </t>
  </si>
  <si>
    <t>Old Union Methodist Church</t>
  </si>
  <si>
    <t>4/28/2022 - CM-S 10/26/2023 - CM-S 1/24/2023 - CM-S</t>
  </si>
  <si>
    <t>10/30/2023 - CM-S</t>
  </si>
  <si>
    <t>Sen. James Vaughn</t>
  </si>
  <si>
    <t>39.38788</t>
  </si>
  <si>
    <t>-75.66275</t>
  </si>
  <si>
    <t>205 Union Church Road</t>
  </si>
  <si>
    <t>Old Union Mthodist Church</t>
  </si>
  <si>
    <t xml:space="preserve"> oldunionchurchtownsendr@gmail.com None located</t>
  </si>
  <si>
    <t>https://archives.delaware.gov/delaware-historical-markers/old-union-methodist-church/</t>
  </si>
  <si>
    <t>https://archives.delaware.gov/wp-content/uploads/sites/156/2019/06/ncc-117-2.jpg</t>
  </si>
  <si>
    <t xml:space="preserve">NCC-118 </t>
  </si>
  <si>
    <t>4/28/2022 - CM-S 12/12/2022 - DWC
10/25/2024 - CM-S</t>
  </si>
  <si>
    <t>Sen. James T. Vaughn / Rep. Bruce C. Ennis</t>
  </si>
  <si>
    <t>39.44966</t>
  </si>
  <si>
    <t>-75.71699</t>
  </si>
  <si>
    <t>8 West Main Street</t>
  </si>
  <si>
    <t>https://archives.delaware.gov/delaware-historical-markers/middletown/</t>
  </si>
  <si>
    <t>https://archives.delaware.gov/wp-content/uploads/sites/156/2019/06/ncc-118.jpg</t>
  </si>
  <si>
    <t xml:space="preserve">NCC-119 </t>
  </si>
  <si>
    <t>The Stone Mansion</t>
  </si>
  <si>
    <t>Rep. Bruce Reynolds</t>
  </si>
  <si>
    <t>39.61768</t>
  </si>
  <si>
    <t>-75.63563</t>
  </si>
  <si>
    <t>739 Hamburg Road</t>
  </si>
  <si>
    <t xml:space="preserve">New Castle </t>
  </si>
  <si>
    <t>NCC-120</t>
  </si>
  <si>
    <t>Chester-Bethel United Methodist Church</t>
  </si>
  <si>
    <t>Rep. Robert J. "Bob" Valihura, Jr and Sen. Myrna L. Bair</t>
  </si>
  <si>
    <t>39.83069</t>
  </si>
  <si>
    <t>-75.49977</t>
  </si>
  <si>
    <t xml:space="preserve">2619 Foulk Road </t>
  </si>
  <si>
    <t>https://archives.delaware.gov/delaware-historical-markers/chester-bethel-united-methodist-church/</t>
  </si>
  <si>
    <t>https://archives.delaware.gov/wp-content/uploads/sites/156/2019/06/ncc_120.jpg</t>
  </si>
  <si>
    <t xml:space="preserve">NCC-121 </t>
  </si>
  <si>
    <t>Cool Spring Park</t>
  </si>
  <si>
    <t>9/12/2023 - CM-S</t>
  </si>
  <si>
    <t>39.74983</t>
  </si>
  <si>
    <t>-75.55830</t>
  </si>
  <si>
    <t>1001 North Van Buren Street</t>
  </si>
  <si>
    <t xml:space="preserve">NCC-122 </t>
  </si>
  <si>
    <t>St. John the Baptist Church (Newark)</t>
  </si>
  <si>
    <t>3/8/2023 - CM-S 8/16/2023 - CM-S</t>
  </si>
  <si>
    <t>39.68378</t>
  </si>
  <si>
    <t>-75.74551</t>
  </si>
  <si>
    <t>200 E. Main Street</t>
  </si>
  <si>
    <t xml:space="preserve">NCC-123 </t>
  </si>
  <si>
    <t>Church of the Ascension (Claymont)</t>
  </si>
  <si>
    <t>39.80503</t>
  </si>
  <si>
    <t>-75.45371</t>
  </si>
  <si>
    <t>3717 Philadelphia Pike</t>
  </si>
  <si>
    <t>07/09/2018 *Refurbished by Healey Studios</t>
  </si>
  <si>
    <t>https://archives.delaware.gov/delaware-historical-markers/church-of-the-ascension/</t>
  </si>
  <si>
    <t>https://archives.delaware.gov/wp-content/uploads/sites/156/2019/06/ncc_123.jpg</t>
  </si>
  <si>
    <t xml:space="preserve">NCC-124 </t>
  </si>
  <si>
    <t>Pencader Presbyterian Church</t>
  </si>
  <si>
    <t>3/28/2023 - CM-S
10/25/2024 - CM-S</t>
  </si>
  <si>
    <t>39.60618</t>
  </si>
  <si>
    <t>-75.74532</t>
  </si>
  <si>
    <t>2315 Glasgow Avenue</t>
  </si>
  <si>
    <t>https://archives.delaware.gov/delaware-historical-markers/pencader-presbyterian-church/</t>
  </si>
  <si>
    <t>https://archives.delaware.gov/wp-content/uploads/sites/156/2019/06/ncc-124-25.jpg</t>
  </si>
  <si>
    <t xml:space="preserve">NCC-125 </t>
  </si>
  <si>
    <t>Wilmington Friends Meeting - Burial Thomas Garrett</t>
  </si>
  <si>
    <t>2/15/2023 - CM-S 8/22/2023 - CM-S  10/2/2024 - CM-S</t>
  </si>
  <si>
    <t>39.74265</t>
  </si>
  <si>
    <t>-75.55474</t>
  </si>
  <si>
    <t>401 N West St</t>
  </si>
  <si>
    <t>marker is near intersection of Washington St and W 5th St</t>
  </si>
  <si>
    <t>https://archives.delaware.gov/delaware-historical-markers/wilmington-friends-meeting-burial-place-thomas-garrett/</t>
  </si>
  <si>
    <t>https://archives.delaware.gov/wp-content/uploads/sites/156/2022/08/ncc_125-2.jpg</t>
  </si>
  <si>
    <t xml:space="preserve">NCC-126 </t>
  </si>
  <si>
    <t>Sgt. James P. Connor Memorial Circle</t>
  </si>
  <si>
    <t>39.54945</t>
  </si>
  <si>
    <t>-75.74138</t>
  </si>
  <si>
    <t xml:space="preserve">2465 Chesapeake City Road  </t>
  </si>
  <si>
    <t>Marker is in Delaware Veterans Memorial Cemetery, Bear</t>
  </si>
  <si>
    <t>https://archives.delaware.gov/delaware-historical-markers/sgt-james-p-connor-memorial/</t>
  </si>
  <si>
    <t>https://archives.delaware.gov/wp-content/uploads/sites/156/2019/06/ncc-126.jpg</t>
  </si>
  <si>
    <t xml:space="preserve">NCC-127 </t>
  </si>
  <si>
    <t>Site of DuPont Airfield</t>
  </si>
  <si>
    <t>Rep. Deborah Hudson</t>
  </si>
  <si>
    <t>39.76508</t>
  </si>
  <si>
    <t>-75.59853</t>
  </si>
  <si>
    <t>301 Buckley Mill Road</t>
  </si>
  <si>
    <t xml:space="preserve">NCC-128 </t>
  </si>
  <si>
    <t>Freedom Lost</t>
  </si>
  <si>
    <t xml:space="preserve"> 1/24/2023 - CM-S
</t>
  </si>
  <si>
    <t>39.73726</t>
  </si>
  <si>
    <t>-75.55392</t>
  </si>
  <si>
    <t>101 South Market Street</t>
  </si>
  <si>
    <t xml:space="preserve">Refabricated to aluminum at request of Wilmington Riverfront in 2021 / 2022. Reynolds approved DPA funds vs Legislators. </t>
  </si>
  <si>
    <t>https://archives.delaware.gov/delaware-historical-markers/freedom-lost/</t>
  </si>
  <si>
    <t>https://archives.delaware.gov/wp-content/uploads/sites/156/2019/06/ncc-128.jpg</t>
  </si>
  <si>
    <t xml:space="preserve">NCC-129 </t>
  </si>
  <si>
    <t>Pride of Delaware Lodge #349 IBPEOW</t>
  </si>
  <si>
    <t>Sen. Liane M. Sorenson</t>
  </si>
  <si>
    <t>39.68568</t>
  </si>
  <si>
    <t>-75.75686</t>
  </si>
  <si>
    <t xml:space="preserve">57 W. Cleveland Avenue </t>
  </si>
  <si>
    <t xml:space="preserve">NCC-130 </t>
  </si>
  <si>
    <t>New Century Club</t>
  </si>
  <si>
    <t>39.68228889</t>
  </si>
  <si>
    <t>-75.74701111</t>
  </si>
  <si>
    <t>201 E. Delaware Street</t>
  </si>
  <si>
    <t>Damaged at Kent Signs, Sent to DelDot 11/2021 for Destruction. - New Century Building demolished. Checking into new location. Needs reorder.</t>
  </si>
  <si>
    <t xml:space="preserve">NCC-131 </t>
  </si>
  <si>
    <t>Port Penn Front Range Light</t>
  </si>
  <si>
    <t>5/5/2022 - CM-S</t>
  </si>
  <si>
    <t>Sen. James T. Vaughn</t>
  </si>
  <si>
    <t>39.49228</t>
  </si>
  <si>
    <t>-75.58937</t>
  </si>
  <si>
    <t>1704-1770 St Augustine Road</t>
  </si>
  <si>
    <t>Port Penn</t>
  </si>
  <si>
    <t>https://archives.delaware.gov/delaware-historical-markers/port-penn-front-range-light/</t>
  </si>
  <si>
    <t>https://archives.delaware.gov/wp-content/uploads/sites/156/2019/06/sc_131.jpg</t>
  </si>
  <si>
    <t xml:space="preserve">NCC-132 </t>
  </si>
  <si>
    <t>Mount Lebanon United Methodist Church</t>
  </si>
  <si>
    <t>1/11/2023 - CM-S 10/30/2024 - CM-S</t>
  </si>
  <si>
    <t>11/28/2023 - VLM</t>
  </si>
  <si>
    <t>Sen. Gregory F. "Greg" Lavelle</t>
  </si>
  <si>
    <t>39.79929</t>
  </si>
  <si>
    <t>-75.56688</t>
  </si>
  <si>
    <t xml:space="preserve">850 Mt. Lebanon Road </t>
  </si>
  <si>
    <t>https://archives.delaware.gov/delaware-historical-markers/mount-lebanon-united-methodist-church/</t>
  </si>
  <si>
    <t>https://archives.delaware.gov/wp-content/uploads/sites/156/2019/06/ncc-132-2.jpg</t>
  </si>
  <si>
    <t xml:space="preserve">NCC-133 </t>
  </si>
  <si>
    <t>McDonough Burial Ground</t>
  </si>
  <si>
    <t>5/5/2022 - CM-S
10/25/2024 - CM-S
1/22/2025 - CM-S</t>
  </si>
  <si>
    <t>39.49242</t>
  </si>
  <si>
    <t>-75.65032</t>
  </si>
  <si>
    <t>2481 Dupont Parkway</t>
  </si>
  <si>
    <t>Location is approx 200 feet south of street address</t>
  </si>
  <si>
    <t xml:space="preserve">NCC-134 </t>
  </si>
  <si>
    <t>Site of Bellanca Airfield</t>
  </si>
  <si>
    <t>8/31/2022 - CM-S 1/9/2023 - CM-S 10/30/2024 - CM-S</t>
  </si>
  <si>
    <t>Sen. Dorinda "Dori" Connor / Rep. Michael "Mike" Mulrooney</t>
  </si>
  <si>
    <t>39.66448</t>
  </si>
  <si>
    <t>-75.58669</t>
  </si>
  <si>
    <t>2 Centerpoint Blvd.</t>
  </si>
  <si>
    <t>https://archives.delaware.gov/delaware-historical-markers/site-of-bellanca-airfield/</t>
  </si>
  <si>
    <t>https://archives.delaware.gov/wp-content/uploads/sites/156/2019/06/NCC_134.jpeg</t>
  </si>
  <si>
    <t xml:space="preserve">NCC-135 </t>
  </si>
  <si>
    <t>Locust Grove Home of Governor Joshua Clayton</t>
  </si>
  <si>
    <t>1/4/2022 - CM-S</t>
  </si>
  <si>
    <t>Rep. Richard "Dick" Cathcart / Rep. Bruce C. Ennis</t>
  </si>
  <si>
    <t>39.50468</t>
  </si>
  <si>
    <t>-75.75252</t>
  </si>
  <si>
    <t>102 Clayton Manor Dr.</t>
  </si>
  <si>
    <t>https://archives.delaware.gov/delaware-historical-markers/locust-grove-house/</t>
  </si>
  <si>
    <t>https://archives.delaware.gov/wp-content/uploads/sites/156/2019/06/ncc-135.jpg</t>
  </si>
  <si>
    <t xml:space="preserve">NCC-136 </t>
  </si>
  <si>
    <t>Newark United Methodist Church</t>
  </si>
  <si>
    <t>3/8/2023 - CM-S 2/14/2024 - CM-S 12/26/2024 - CM-S</t>
  </si>
  <si>
    <t>39.68318</t>
  </si>
  <si>
    <t>-75.75069</t>
  </si>
  <si>
    <t>69 East Main Street</t>
  </si>
  <si>
    <t xml:space="preserve">NCC-137 </t>
  </si>
  <si>
    <t>Hockessin School #107C</t>
  </si>
  <si>
    <t>8/31/2022 - CM-S 4/11/2024 - CM-S</t>
  </si>
  <si>
    <t>Rep. Roger P. Roy</t>
  </si>
  <si>
    <t>39.78456</t>
  </si>
  <si>
    <t>-75.6982</t>
  </si>
  <si>
    <t>4266 Millcreek Road</t>
  </si>
  <si>
    <t>https://archives.delaware.gov/delaware-historical-markers/hockessin-school-107c/</t>
  </si>
  <si>
    <t>https://archives.delaware.gov/wp-content/uploads/sites/156/2019/06/nc-137-25.jpg</t>
  </si>
  <si>
    <t xml:space="preserve">NCC-138 </t>
  </si>
  <si>
    <t>Brown v. Board of Education</t>
  </si>
  <si>
    <t>1/24/2023 - CM-S 5/6/2024 - CM-S  10/2/2024 - CM-S</t>
  </si>
  <si>
    <t xml:space="preserve">State of Delaware Historic Markers Program, </t>
  </si>
  <si>
    <t>39.74118</t>
  </si>
  <si>
    <t>-75.54967</t>
  </si>
  <si>
    <t>500 N. King Street</t>
  </si>
  <si>
    <t>https://archives.delaware.gov/delaware-historical-markers/brown-v-board-education/</t>
  </si>
  <si>
    <t>https://archives.delaware.gov/wp-content/uploads/sites/156/2019/06/ncc-138-3.jpg</t>
  </si>
  <si>
    <t xml:space="preserve">NCC-139 </t>
  </si>
  <si>
    <t>Oriental Lodge #12, I.O.O.F</t>
  </si>
  <si>
    <t>10/21/2024-VLM</t>
  </si>
  <si>
    <t>Rep. Stephanie Ulbrich</t>
  </si>
  <si>
    <t>39.68320</t>
  </si>
  <si>
    <t>-75.75077</t>
  </si>
  <si>
    <t>65 East Main Street</t>
  </si>
  <si>
    <t>https://archives.delaware.gov/delaware-historical-markers/oriental-lodge-112-ioof/</t>
  </si>
  <si>
    <t>https://archives.delaware.gov/wp-content/uploads/sites/156/2019/06/ncc-139-24.jpg</t>
  </si>
  <si>
    <t xml:space="preserve">NCC-140 </t>
  </si>
  <si>
    <t>Chippey African Union Methodist Church</t>
  </si>
  <si>
    <t>39.78505</t>
  </si>
  <si>
    <t>-75.69811</t>
  </si>
  <si>
    <t xml:space="preserve">4272 Millcreek Road </t>
  </si>
  <si>
    <t>https://archives.delaware.gov/delaware-historical-markers/chippey-african-union-methodist-church/</t>
  </si>
  <si>
    <t>https://archives.delaware.gov/wp-content/uploads/sites/156/2025/05/ncc-140-25-2.jpg</t>
  </si>
  <si>
    <t xml:space="preserve">NCC-141 </t>
  </si>
  <si>
    <t>Delaware's Jewish Community</t>
  </si>
  <si>
    <t>3/16/2023 - CM-S 9/12/2023 - CM-S  6/4/2024 - CM-S  10/2/2024 - CM-S</t>
  </si>
  <si>
    <t>State of Delaware Historic Markers Program, 2004</t>
  </si>
  <si>
    <t>39.73910</t>
  </si>
  <si>
    <t>-75.55214</t>
  </si>
  <si>
    <t>211 N. Market Street</t>
  </si>
  <si>
    <t>https://archives.delaware.gov/delaware-historical-markers/delawares-jewish-community/</t>
  </si>
  <si>
    <t>https://archives.delaware.gov/wp-content/uploads/sites/156/2019/06/ncc-141-24.jpg</t>
  </si>
  <si>
    <t xml:space="preserve">NCC-142 </t>
  </si>
  <si>
    <t>Aiken's Tavern Historic District</t>
  </si>
  <si>
    <t>3/30/2022 - CM-S
10/25/2024 - CM-S</t>
  </si>
  <si>
    <t>Sen. Steven H. Amick</t>
  </si>
  <si>
    <t>39.60775</t>
  </si>
  <si>
    <t>-75.74630</t>
  </si>
  <si>
    <t xml:space="preserve">NCC-143 </t>
  </si>
  <si>
    <t>Ezion-Mount Carmel United Methodist Church</t>
  </si>
  <si>
    <t>2/15/2023 - CM-S 6/4/2024 - CM-S  10/2/2024 - CM-S</t>
  </si>
  <si>
    <t>39.74256</t>
  </si>
  <si>
    <t>-75.54587</t>
  </si>
  <si>
    <t>800 N Walnut Street</t>
  </si>
  <si>
    <t xml:space="preserve">NCC-144 </t>
  </si>
  <si>
    <t>Middletown Academy</t>
  </si>
  <si>
    <t>12/21/2022 - DWC  1/23/2024 - CM-S</t>
  </si>
  <si>
    <t>Rep. Bethany Hall-Long</t>
  </si>
  <si>
    <t>39.45150</t>
  </si>
  <si>
    <t>-75.71737</t>
  </si>
  <si>
    <t>216 N. Broad Street</t>
  </si>
  <si>
    <t>https://archives.delaware.gov/delaware-historical-markers/middletown-academy/</t>
  </si>
  <si>
    <t>https://archives.delaware.gov/wp-content/uploads/sites/156/2025/12/nc-114-25.jpg</t>
  </si>
  <si>
    <t xml:space="preserve">NCC-144A </t>
  </si>
  <si>
    <t>Sgt. William Lloyd Nelson</t>
  </si>
  <si>
    <t>10/25/2023 - CM-S</t>
  </si>
  <si>
    <t>39.41255</t>
  </si>
  <si>
    <t>-75.70268</t>
  </si>
  <si>
    <t>5695 Summit Bridge Road</t>
  </si>
  <si>
    <t>Marker illegally moved to VFW Post 3792. Decision made to move marker to that location permanently Sept 2023. Old location at Everett Meredith Middle School located at 504 S. Broad Street</t>
  </si>
  <si>
    <t xml:space="preserve">NCC-145 </t>
  </si>
  <si>
    <t>Sen. Dorinda "Dori" Connor</t>
  </si>
  <si>
    <t>39.65865</t>
  </si>
  <si>
    <t>-75.56782</t>
  </si>
  <si>
    <t>400 South Street</t>
  </si>
  <si>
    <t>https://archives.delaware.gov/delaware-historical-markers/booker-t-washington-school-nc145/</t>
  </si>
  <si>
    <t>https://archives.delaware.gov/wp-content/uploads/sites/156/2025/10/nc-145-25.jpg</t>
  </si>
  <si>
    <t xml:space="preserve">NCC-146 </t>
  </si>
  <si>
    <t>Clifford Brown Legendary Jazz Musician</t>
  </si>
  <si>
    <t>1500 Clifford Brown Walk</t>
  </si>
  <si>
    <t>Marker is bent - needs repair.  See Howard High (down the street)</t>
  </si>
  <si>
    <t>https://archives.delaware.gov/delaware-historical-markers/clifford-brown-legendary-jazz-musician/</t>
  </si>
  <si>
    <t>https://archives.delaware.gov/wp-content/uploads/sites/156/2019/06/ncc_146_2.jpg</t>
  </si>
  <si>
    <t xml:space="preserve">NCC-147 </t>
  </si>
  <si>
    <t>Old St. Paul's Church (Odessa)</t>
  </si>
  <si>
    <t>2/19/2024 - VLM</t>
  </si>
  <si>
    <t>39.45759</t>
  </si>
  <si>
    <t>-75.66061</t>
  </si>
  <si>
    <t>506 High Street</t>
  </si>
  <si>
    <t xml:space="preserve">old contact Sue Davis 302-449-0260 </t>
  </si>
  <si>
    <t>https://archives.delaware.gov/delaware-historical-markers/old-st-pauls-church/</t>
  </si>
  <si>
    <t>https://archives.delaware.gov/wp-content/uploads/sites/156/2019/06/ncc-147-2.jpg</t>
  </si>
  <si>
    <t xml:space="preserve">NCC-148 </t>
  </si>
  <si>
    <t>Salesianum School</t>
  </si>
  <si>
    <t>3/16/2023 - CM-S 8/22/2023 - CM-S
10/25/2024 - CM-S</t>
  </si>
  <si>
    <t>Sen. Harris B. McDowell, III &amp; Rep. Dennis P. Williams</t>
  </si>
  <si>
    <t>39.76075</t>
  </si>
  <si>
    <t>-75.54893</t>
  </si>
  <si>
    <t>1801 N. Broom Street</t>
  </si>
  <si>
    <t>https://archives.delaware.gov/delaware-historical-markers/salesianum-school/</t>
  </si>
  <si>
    <t>https://archives.delaware.gov/wp-content/uploads/sites/156/2019/06/ncc-148-24.jpg</t>
  </si>
  <si>
    <t xml:space="preserve">NCC-149 </t>
  </si>
  <si>
    <t>Knotty Pine Restaurant</t>
  </si>
  <si>
    <t>1/24/2023 - CM-S
6/4/2024 - CM-S</t>
  </si>
  <si>
    <t>39.74525</t>
  </si>
  <si>
    <t>-75.54377</t>
  </si>
  <si>
    <t>308 E. 11th Street</t>
  </si>
  <si>
    <t>https://archives.delaware.gov/delaware-historical-markers/knotty-pine-restaurant/</t>
  </si>
  <si>
    <t>https://archives.delaware.gov/wp-content/uploads/sites/156/2019/06/nc-149-25.jpg</t>
  </si>
  <si>
    <t xml:space="preserve">NCC-150 </t>
  </si>
  <si>
    <t>Old Town Hall</t>
  </si>
  <si>
    <t>3/16/2023 - CM-S 8/22/2023 - CM-S  10/2/2024 - CM-S</t>
  </si>
  <si>
    <t>39.74158</t>
  </si>
  <si>
    <t>-75.55030</t>
  </si>
  <si>
    <t>505 N Market Street</t>
  </si>
  <si>
    <t>See NC- Old Town Hall</t>
  </si>
  <si>
    <t xml:space="preserve">NCC-151 </t>
  </si>
  <si>
    <t>Meeteer House</t>
  </si>
  <si>
    <t>8/31/2022 - CM-S 3/8/2023 - CM-S 12/26/2024 - CM-S</t>
  </si>
  <si>
    <t>Sen. Karen E. Peterson</t>
  </si>
  <si>
    <t>39.69523</t>
  </si>
  <si>
    <t>-75.71851</t>
  </si>
  <si>
    <t xml:space="preserve">801 Capitol Trail </t>
  </si>
  <si>
    <t>https://archives.delaware.gov/delaware-historical-markers/meeteer-house/</t>
  </si>
  <si>
    <t>https://archives.delaware.gov/wp-content/uploads/sites/156/2025/09/nc-151-25.jpg</t>
  </si>
  <si>
    <t xml:space="preserve">NCC-152 </t>
  </si>
  <si>
    <t>Shiloh Baptist Church</t>
  </si>
  <si>
    <t>3/16/2023 - CM-S</t>
  </si>
  <si>
    <t xml:space="preserve">Sen. Margaret Rose Henry &amp; Rep. Dennis P. Williams </t>
  </si>
  <si>
    <t>39.75574</t>
  </si>
  <si>
    <t>-75.54044</t>
  </si>
  <si>
    <t>215 W. 23rd Street</t>
  </si>
  <si>
    <t xml:space="preserve">NCC-153 </t>
  </si>
  <si>
    <t>Old Drawyers Presbyterian Church</t>
  </si>
  <si>
    <t>4/28/2022 - CM-S 3/8/2023 - CM-S 1/23/2024 - CM-S
10/25/2024 - CM-S</t>
  </si>
  <si>
    <t>39.46693</t>
  </si>
  <si>
    <t>-75.65456</t>
  </si>
  <si>
    <t>2839 Dupont Pkwy</t>
  </si>
  <si>
    <t>Replaced NCC-017</t>
  </si>
  <si>
    <t>https://archives.delaware.gov/delaware-historical-markers/old-drawyers/</t>
  </si>
  <si>
    <t>https://archives.delaware.gov/wp-content/uploads/sites/156/2019/06/ncc-153-24.jpg</t>
  </si>
  <si>
    <t xml:space="preserve">NCC-154 </t>
  </si>
  <si>
    <t>Site of Old Cathedral Cemetery</t>
  </si>
  <si>
    <t>2/15/2023 - CM-S 8/22/2023 - CM-S</t>
  </si>
  <si>
    <t>Rep. Joseph G. "Joe" DiPinto</t>
  </si>
  <si>
    <t>39.74919</t>
  </si>
  <si>
    <t>-75.55248</t>
  </si>
  <si>
    <t>Intersection of 12th St and Delaware Ave</t>
  </si>
  <si>
    <t>https://archives.delaware.gov/delaware-historical-markers/old-cathedral-cemetery/</t>
  </si>
  <si>
    <t>https://archives.delaware.gov/wp-content/uploads/sites/156/2019/06/nc-154-25.jpg</t>
  </si>
  <si>
    <t xml:space="preserve">NCC-155 </t>
  </si>
  <si>
    <t>Old Farmers Bank</t>
  </si>
  <si>
    <t>3/16/2023 - CM-S 9/12/2023 - CM-S 6/4/2024 - CM-S  10/2/2024 - CM-S</t>
  </si>
  <si>
    <t xml:space="preserve">Rep. Robert J. "Bob" Valihura, Jr and Sen.Steven H. Amick </t>
  </si>
  <si>
    <t>39.73986</t>
  </si>
  <si>
    <t>-75.55173</t>
  </si>
  <si>
    <t>301 North Market Street</t>
  </si>
  <si>
    <t>https://archives.delaware.gov/delaware-historical-markers/old-farmers-bank/</t>
  </si>
  <si>
    <t>https://archives.delaware.gov/wp-content/uploads/sites/156/2019/06/nc-155-25.jpg</t>
  </si>
  <si>
    <t xml:space="preserve">NCC-156 </t>
  </si>
  <si>
    <t>Grand Lodge of Delaware A.F. &amp; A.M.</t>
  </si>
  <si>
    <t>9/2/20225 - VLM</t>
  </si>
  <si>
    <t>39.74156</t>
  </si>
  <si>
    <t>-75.55058</t>
  </si>
  <si>
    <t>504 North Market Street</t>
  </si>
  <si>
    <t>https://archives.delaware.gov/delaware-historical-markers/grand-lodge-delaware/</t>
  </si>
  <si>
    <t>https://archives.delaware.gov/wp-content/uploads/sites/156/2025/09/nc-156-25.jpg</t>
  </si>
  <si>
    <t xml:space="preserve">NCC-157 </t>
  </si>
  <si>
    <t>Washington Lodge No. 1 Grand Lodge of DE, A.F. &amp; A.M.</t>
  </si>
  <si>
    <t>Never Installed? See NCC-156?</t>
  </si>
  <si>
    <t>39.743889</t>
  </si>
  <si>
    <t>-75.548611</t>
  </si>
  <si>
    <t>818 N Market Street</t>
  </si>
  <si>
    <t xml:space="preserve">There are no photos of this marker installed. </t>
  </si>
  <si>
    <t xml:space="preserve">NCC-158 </t>
  </si>
  <si>
    <t>St. John’s Lodge No. 2 Grand Lodge of DE, A.F. &amp; A.M.</t>
  </si>
  <si>
    <t>9/12/2023 - CM-S
10/30/2024 - CM-S</t>
  </si>
  <si>
    <t>39.67837</t>
  </si>
  <si>
    <t>-75.55956</t>
  </si>
  <si>
    <t xml:space="preserve">1406 Wilmington Road </t>
  </si>
  <si>
    <t xml:space="preserve">NCC-159 </t>
  </si>
  <si>
    <t>Hiram Lodge No. 25</t>
  </si>
  <si>
    <t>39.68218</t>
  </si>
  <si>
    <t>-75.74682</t>
  </si>
  <si>
    <t xml:space="preserve">207 E. Delaware Avenue </t>
  </si>
  <si>
    <t>https://archives.delaware.gov/delaware-historical-markers/hiram-lodge-no-25/</t>
  </si>
  <si>
    <t>https://archives.delaware.gov/wp-content/uploads/sites/156/2019/06/ncc-159-2.jpg</t>
  </si>
  <si>
    <t xml:space="preserve">NCC-160 </t>
  </si>
  <si>
    <t>3/16/2023 - CM-S
10/30/2024 - CM-S</t>
  </si>
  <si>
    <t>6/5/2023 - CM-S</t>
  </si>
  <si>
    <t>39.81054</t>
  </si>
  <si>
    <t>-75.44186</t>
  </si>
  <si>
    <t>1 Naamans Road</t>
  </si>
  <si>
    <t>Marker replaces NC-2, which is missing. Text was updated with additional research.</t>
  </si>
  <si>
    <t>https://archives.delaware.gov/delaware-historical-markers/robinson-house/</t>
  </si>
  <si>
    <t>https://archives.delaware.gov/wp-content/uploads/sites/156/2023/06/ncc-160-2.jpg</t>
  </si>
  <si>
    <t xml:space="preserve">NCC-161 </t>
  </si>
  <si>
    <t>The Delaware Continentals</t>
  </si>
  <si>
    <t>2/14/2024 - CM-S 10/2/2024 - CM-S</t>
  </si>
  <si>
    <t>1/29/2025 - VLM</t>
  </si>
  <si>
    <t>39.72869</t>
  </si>
  <si>
    <t>-75.62229</t>
  </si>
  <si>
    <t>1401 Newport Gap Pike</t>
  </si>
  <si>
    <t>https://archives.delaware.gov/delaware-historical-markers/the-delaware-continentals/</t>
  </si>
  <si>
    <t>https://archives.delaware.gov/wp-content/uploads/sites/156/2019/06/nc-161-25.jpg</t>
  </si>
  <si>
    <t xml:space="preserve">NCC-162 </t>
  </si>
  <si>
    <t>Hickman Row</t>
  </si>
  <si>
    <t>Rep. Wayne Smith, Rep. Robert C. "Bob" Valihura, Sen. Catherine "Cathy" Clouiter</t>
  </si>
  <si>
    <t>39.81571</t>
  </si>
  <si>
    <t>-75.44517</t>
  </si>
  <si>
    <t xml:space="preserve">31 Hickman Road </t>
  </si>
  <si>
    <t xml:space="preserve">NCC-163 </t>
  </si>
  <si>
    <t>Mount Salem United Methodist Church</t>
  </si>
  <si>
    <t>Rep. Joseph G. "Joe" DiPinto (2006)
Sen. Darius J. Brown (2025)</t>
  </si>
  <si>
    <t>39.76498</t>
  </si>
  <si>
    <t>-75.57422</t>
  </si>
  <si>
    <t>2629 W. 19th Street, Rockford Park</t>
  </si>
  <si>
    <t>https://archives.delaware.gov/delaware-historical-markers/mount-salem-united-methodist-church/</t>
  </si>
  <si>
    <t>https://archives.delaware.gov/wp-content/uploads/sites/156/2019/06/nc-163-25.jpg</t>
  </si>
  <si>
    <t xml:space="preserve">NCC-164 </t>
  </si>
  <si>
    <t>The Bulah Family &amp; Brown v. Board of Education</t>
  </si>
  <si>
    <t>8/13/2025 - VLM</t>
  </si>
  <si>
    <t>Representative Michael F. Smith</t>
  </si>
  <si>
    <t>39.77609</t>
  </si>
  <si>
    <t>-75.71666</t>
  </si>
  <si>
    <t>Across from 6432 Limestone Road</t>
  </si>
  <si>
    <t>Tweed's Park Soccer Fields</t>
  </si>
  <si>
    <t>Safe access from Tweed's Park Soccer Fields, 100 Fitness Way, Hockessin, DE</t>
  </si>
  <si>
    <t xml:space="preserve">NCC-165 </t>
  </si>
  <si>
    <t>Rockwood</t>
  </si>
  <si>
    <t>7-12-2023 - CM-S 8/21/2024 - VLM 10/2/2024 - CM-S</t>
  </si>
  <si>
    <t>Sen. Harris B. McDowell, III (2006)
Sen. Sarah McBride &amp; Rep. Debra L. Heffernan (2024)</t>
  </si>
  <si>
    <t>39.77233</t>
  </si>
  <si>
    <t>-75.51929</t>
  </si>
  <si>
    <t xml:space="preserve">610 Shipley Road </t>
  </si>
  <si>
    <t>Bronze marker replaced 2024.</t>
  </si>
  <si>
    <t xml:space="preserve">NCC-166 </t>
  </si>
  <si>
    <t>Site of Gilpin Mills</t>
  </si>
  <si>
    <t>Rep. Gerald L. Brady</t>
  </si>
  <si>
    <t>39.76434</t>
  </si>
  <si>
    <t>-75.55782</t>
  </si>
  <si>
    <t xml:space="preserve">3 Mill Road </t>
  </si>
  <si>
    <t>https://archives.delaware.gov/delaware-historical-markers/site-of-gilpin-mills/</t>
  </si>
  <si>
    <t>https://archives.delaware.gov/wp-content/uploads/sites/156/2019/06/nc-166-25.jpg</t>
  </si>
  <si>
    <t xml:space="preserve">NCC-167 </t>
  </si>
  <si>
    <t>8/31/2022 - CM-S 3/8/2023 - CM-S 2/14/2024 - CM-S</t>
  </si>
  <si>
    <t>39.68547</t>
  </si>
  <si>
    <t>-75.75840</t>
  </si>
  <si>
    <t xml:space="preserve">77 New London Road </t>
  </si>
  <si>
    <t>Mounted to wall</t>
  </si>
  <si>
    <t xml:space="preserve">NCC-168 </t>
  </si>
  <si>
    <t>St. Mary’s Church</t>
  </si>
  <si>
    <t>3/16/2023 - CM-S 9/12/2023 - CM-S</t>
  </si>
  <si>
    <t>Rep. Helene Keeley</t>
  </si>
  <si>
    <t>39.73919</t>
  </si>
  <si>
    <t>-75.54441</t>
  </si>
  <si>
    <t>600 E 6th St</t>
  </si>
  <si>
    <t>https://archives.delaware.gov/delaware-historical-markers/st-marys-church/</t>
  </si>
  <si>
    <t>https://archives.delaware.gov/wp-content/uploads/sites/156/2019/06/ncc-168-24.jpg</t>
  </si>
  <si>
    <t xml:space="preserve">NCC-169 </t>
  </si>
  <si>
    <t>Alexis I. duPont Middle School</t>
  </si>
  <si>
    <t>Sen. Charles L. Copeland</t>
  </si>
  <si>
    <t>39.76709</t>
  </si>
  <si>
    <t>-75.58461</t>
  </si>
  <si>
    <t>3130 Kennett Pike</t>
  </si>
  <si>
    <t>https://archives.delaware.gov/delaware-historical-markers/alexis-i-dupont-middle-school/</t>
  </si>
  <si>
    <t>https://archives.delaware.gov/wp-content/uploads/sites/156/2019/06/nc-169-25.jpg</t>
  </si>
  <si>
    <t xml:space="preserve">NCC-170 </t>
  </si>
  <si>
    <t>Mount Pleasant School</t>
  </si>
  <si>
    <t>12/6/2023 - CM-S 10/30/2024 - CM-S</t>
  </si>
  <si>
    <t>Sen. Harris B. McDowell, III</t>
  </si>
  <si>
    <t>39.77535</t>
  </si>
  <si>
    <t>-75.49618</t>
  </si>
  <si>
    <t>2816 Carriage House Ln</t>
  </si>
  <si>
    <t>Bellevue State Park (Philladelphia Pike Enterance)</t>
  </si>
  <si>
    <t>Mounted on Boulder</t>
  </si>
  <si>
    <t>https://archives.delaware.gov/delaware-historical-markers/mount-pleasant-school/</t>
  </si>
  <si>
    <t>https://archives.delaware.gov/wp-content/uploads/sites/156/2019/06/ncc-170-2.jpg</t>
  </si>
  <si>
    <t xml:space="preserve">NCC-171 </t>
  </si>
  <si>
    <t>Marshallton</t>
  </si>
  <si>
    <t>12/6/2023 - CM-S 10/2/2024 - CM-S</t>
  </si>
  <si>
    <t>39.72721</t>
  </si>
  <si>
    <t>-75.63881</t>
  </si>
  <si>
    <t>1211 Greenbank Road</t>
  </si>
  <si>
    <t xml:space="preserve">NCC-172 </t>
  </si>
  <si>
    <t>Salem United Methodist Church</t>
  </si>
  <si>
    <t>39.64544</t>
  </si>
  <si>
    <t>-75.70321</t>
  </si>
  <si>
    <t xml:space="preserve">469 Salem Church Road </t>
  </si>
  <si>
    <t xml:space="preserve">NCC-173 </t>
  </si>
  <si>
    <t>Christiana Presbyterian Church</t>
  </si>
  <si>
    <t>39.66656</t>
  </si>
  <si>
    <t>-75.65930</t>
  </si>
  <si>
    <t>15 North Old Baltimore Pike</t>
  </si>
  <si>
    <t xml:space="preserve">NCC-174 </t>
  </si>
  <si>
    <t>Buttonwood School</t>
  </si>
  <si>
    <t>9/12/2023 - CM-S 10/30/2024 - CM-S</t>
  </si>
  <si>
    <t>5/14/2024 - VLM</t>
  </si>
  <si>
    <t>Sen. Dorinda Connor, Sen. Margaret Rose Henry &amp; Rep. James Johnson</t>
  </si>
  <si>
    <t>39.67956</t>
  </si>
  <si>
    <t>-75.55022</t>
  </si>
  <si>
    <t xml:space="preserve">111 Buttonwood Avenue </t>
  </si>
  <si>
    <t>Marker repaired / reinstalled 8/26/2021</t>
  </si>
  <si>
    <t>https://archives.delaware.gov/delaware-historical-markers/buttonwood-school/</t>
  </si>
  <si>
    <t>https://archives.delaware.gov/wp-content/uploads/sites/156/2019/06/nc-174-2024.jpg</t>
  </si>
  <si>
    <t xml:space="preserve">NCC-175 </t>
  </si>
  <si>
    <t>Frank Furness Railroad District</t>
  </si>
  <si>
    <t>3/16/2023 - CM-S 9/12/2023 - CM-S  10/2/2024 - CM-S</t>
  </si>
  <si>
    <t>Sen. Joseph G. DiPinto</t>
  </si>
  <si>
    <t>39.73677</t>
  </si>
  <si>
    <t>-75.55159</t>
  </si>
  <si>
    <t>111 S. French Street</t>
  </si>
  <si>
    <t>https://archives.delaware.gov/delaware-historical-markers/frank-furness-railroad-district/</t>
  </si>
  <si>
    <t>https://archives.delaware.gov/wp-content/uploads/sites/156/2019/06/ncc-175-2.jpg</t>
  </si>
  <si>
    <t xml:space="preserve">NCC-176 </t>
  </si>
  <si>
    <t>Archmere</t>
  </si>
  <si>
    <t>Rep. Wayne Smith</t>
  </si>
  <si>
    <t>39.80399</t>
  </si>
  <si>
    <t>-75.45509</t>
  </si>
  <si>
    <t>3600 Philadelphia Pike</t>
  </si>
  <si>
    <t>https://archives.delaware.gov/delaware-historical-markers/archmere/</t>
  </si>
  <si>
    <t>https://archives.delaware.gov/wp-content/uploads/sites/156/2019/06/ncc-176.jpg</t>
  </si>
  <si>
    <t xml:space="preserve">NCC-177 </t>
  </si>
  <si>
    <t>The Patio</t>
  </si>
  <si>
    <t>3/16/2023 - CM-S 11/14/2024 - CM-S</t>
  </si>
  <si>
    <t>39.80239</t>
  </si>
  <si>
    <t>-75.45396</t>
  </si>
  <si>
    <t xml:space="preserve">NCC-178 </t>
  </si>
  <si>
    <t>Old Delaware City Public School</t>
  </si>
  <si>
    <t>39.57360</t>
  </si>
  <si>
    <t>-75.59390</t>
  </si>
  <si>
    <t>407 Clinton Street</t>
  </si>
  <si>
    <t>https://archives.delaware.gov/delaware-historical-markers/delaware-city-old-public-school/</t>
  </si>
  <si>
    <t>https://archives.delaware.gov/wp-content/uploads/sites/156/2019/06/ncc-178-24.jpg</t>
  </si>
  <si>
    <t xml:space="preserve">NCC-179 </t>
  </si>
  <si>
    <t>Unassigned</t>
  </si>
  <si>
    <t xml:space="preserve">NCC-180 </t>
  </si>
  <si>
    <t>St. Anthony of Padua</t>
  </si>
  <si>
    <t>Rep Joseph G. DiPinto</t>
  </si>
  <si>
    <t>39.75242</t>
  </si>
  <si>
    <t>-75.56665</t>
  </si>
  <si>
    <t>1715 West 9th Street</t>
  </si>
  <si>
    <t>https://archives.delaware.gov/delaware-historical-markers/st-anthony-padua/</t>
  </si>
  <si>
    <t>https://archives.delaware.gov/wp-content/uploads/sites/156/2019/06/ncc-180-24.jpg</t>
  </si>
  <si>
    <t xml:space="preserve">NCC-181 </t>
  </si>
  <si>
    <t>Lincoln's Speech</t>
  </si>
  <si>
    <t>39.74028</t>
  </si>
  <si>
    <t>-75.55114</t>
  </si>
  <si>
    <t>318 North Market Street</t>
  </si>
  <si>
    <t>Lincoln Square</t>
  </si>
  <si>
    <t>Installed on side of building 318 N. Market St &amp; E. 4th St</t>
  </si>
  <si>
    <t>https://archives.delaware.gov/delaware-historical-markers/lincolns-speech/</t>
  </si>
  <si>
    <t>https://archives.delaware.gov/wp-content/uploads/sites/156/2019/06/ncc-181-2.jpg</t>
  </si>
  <si>
    <t xml:space="preserve">NCC-182 </t>
  </si>
  <si>
    <t>The Philadelphia Campaign Battle of Cooch's Bridge</t>
  </si>
  <si>
    <t>3/8/2023 - CM-S 9/11/2024 - VLM
10/25/2024 - CM-S</t>
  </si>
  <si>
    <t>State of Delaware Historic Markers Program 2008 and 2023</t>
  </si>
  <si>
    <t>39.64108</t>
  </si>
  <si>
    <t>-75.73240</t>
  </si>
  <si>
    <t xml:space="preserve">NCC-183 </t>
  </si>
  <si>
    <t>New London Avenue School</t>
  </si>
  <si>
    <t>10/4/2022 - CM-S</t>
  </si>
  <si>
    <t>Rep. Teresa Schooley</t>
  </si>
  <si>
    <t>39.689554</t>
  </si>
  <si>
    <t>-75.760681</t>
  </si>
  <si>
    <t xml:space="preserve">303 New London Road </t>
  </si>
  <si>
    <t>https://archives.delaware.gov/delaware-historical-markers/new-london-avenue-school/</t>
  </si>
  <si>
    <t>https://archives.delaware.gov/wp-content/uploads/sites/156/2019/06/NCC-183.jpeg</t>
  </si>
  <si>
    <t xml:space="preserve">NCC-184 </t>
  </si>
  <si>
    <t>Old Fort Union African Methodist Episcopal Church</t>
  </si>
  <si>
    <t>8/31/2022 - CM-S
10/25/2024 - CM-S</t>
  </si>
  <si>
    <t>39.66768</t>
  </si>
  <si>
    <t>-75.65886</t>
  </si>
  <si>
    <t>37 North Old Baltimore Pike</t>
  </si>
  <si>
    <t>https://archives.delaware.gov/delaware-historical-markers/old-fort-uame-church/</t>
  </si>
  <si>
    <t>https://archives.delaware.gov/wp-content/uploads/sites/156/2019/06/ncc-184-24.jpg</t>
  </si>
  <si>
    <t xml:space="preserve">NCC-185 </t>
  </si>
  <si>
    <t>Village of Montchanin</t>
  </si>
  <si>
    <t>10/31/2023 - CM-S</t>
  </si>
  <si>
    <t>Sen. Catherine Cloutier / Sen. Liane Sorenson</t>
  </si>
  <si>
    <t>39.79030</t>
  </si>
  <si>
    <t>-75.58922</t>
  </si>
  <si>
    <t>528 Montchanin Road</t>
  </si>
  <si>
    <t>Montchanin</t>
  </si>
  <si>
    <t>https://archives.delaware.gov/delaware-historical-markers/village-of-montchanin/</t>
  </si>
  <si>
    <t xml:space="preserve">https://archives.delaware.gov/wp-content/uploads/sites/156/2019/06/ncc-185-2.jpg </t>
  </si>
  <si>
    <t xml:space="preserve">NCC-186 </t>
  </si>
  <si>
    <t>04/28/2022 - CM-S 
12/10/2022 - DWC 1/23/2024 - CM-S</t>
  </si>
  <si>
    <t>39.39590</t>
  </si>
  <si>
    <t>-75.69023</t>
  </si>
  <si>
    <t>Townsend Town Hall, 141 Main St</t>
  </si>
  <si>
    <t>https://archives.delaware.gov/delaware-historical-markers/townsend/</t>
  </si>
  <si>
    <t>https://archives.delaware.gov/wp-content/uploads/sites/156/2019/06/nc-186-24.jpg</t>
  </si>
  <si>
    <t xml:space="preserve">NCC-187 </t>
  </si>
  <si>
    <t>National Theatre</t>
  </si>
  <si>
    <t>See NCC-197A Note</t>
  </si>
  <si>
    <t xml:space="preserve">NCC-188 </t>
  </si>
  <si>
    <t>The Community of Dunleith</t>
  </si>
  <si>
    <t xml:space="preserve"> 2/9/2024 - CM-S
6/4/2024 - CM-S</t>
  </si>
  <si>
    <t>Sen. David B. "Dave" McBride &amp; Rep. James "JJ" Johnson</t>
  </si>
  <si>
    <t>39.70565</t>
  </si>
  <si>
    <t>-75.55360</t>
  </si>
  <si>
    <t>468 Bethune Drive</t>
  </si>
  <si>
    <t>https://archives.delaware.gov/delaware-historical-markers/the-community-of-dunleith/</t>
  </si>
  <si>
    <t>https://archives.delaware.gov/wp-content/uploads/sites/156/2019/06/nc-188-25.jpg</t>
  </si>
  <si>
    <t xml:space="preserve">NCC-189 </t>
  </si>
  <si>
    <t>Penn Farm</t>
  </si>
  <si>
    <t>1/9/2023 - CM-S
2/23/2023 - CM-S
 10/30/2024 - CM-S</t>
  </si>
  <si>
    <t>39.66499</t>
  </si>
  <si>
    <t>-75.59207</t>
  </si>
  <si>
    <t xml:space="preserve">807 Frenchtown Road </t>
  </si>
  <si>
    <t>https://archives.delaware.gov/delaware-historical-markers/penn-farm/</t>
  </si>
  <si>
    <t>https://archives.delaware.gov/wp-content/uploads/sites/156/2019/06/NCC_189.jpg</t>
  </si>
  <si>
    <t xml:space="preserve">NCC-190 </t>
  </si>
  <si>
    <t>First Flight of the Delaplane</t>
  </si>
  <si>
    <t xml:space="preserve">12/6/2023 - CM-S 10/25/2024 - CM-S 12/26/2024 - CM-S </t>
  </si>
  <si>
    <t>39.75814</t>
  </si>
  <si>
    <t>-75.57595</t>
  </si>
  <si>
    <t>1100 Greenhill Avenue</t>
  </si>
  <si>
    <t>https://archives.delaware.gov/delaware-historical-markers/first-flight-delaplane/</t>
  </si>
  <si>
    <t>https://archives.delaware.gov/wp-content/uploads/sites/156/2019/06/ncc-190-24.jpg</t>
  </si>
  <si>
    <t xml:space="preserve">NCC-191 </t>
  </si>
  <si>
    <t>Peniel United Methodist Church</t>
  </si>
  <si>
    <t xml:space="preserve">8/22/2023 - CM-S
</t>
  </si>
  <si>
    <t>Sen. Patricia M. Blevins &amp; Sen. Nancy W. Cook</t>
  </si>
  <si>
    <t>39.713979</t>
  </si>
  <si>
    <t>-75.607874</t>
  </si>
  <si>
    <t>115 East Market Street</t>
  </si>
  <si>
    <t>https://archives.delaware.gov/delaware-historical-markers/peniel-united-methodist-church/</t>
  </si>
  <si>
    <t>https://archives.delaware.gov/wp-content/uploads/sites/156/2019/06/ncc-191-24.jpg</t>
  </si>
  <si>
    <t xml:space="preserve">NCC-192 </t>
  </si>
  <si>
    <t>Grubb / Worth Mansion</t>
  </si>
  <si>
    <t>39.79748</t>
  </si>
  <si>
    <t>-75.46390</t>
  </si>
  <si>
    <t>3110 Philadelphia Pike</t>
  </si>
  <si>
    <t xml:space="preserve">NCC-193 </t>
  </si>
  <si>
    <t>Crane Hook Church</t>
  </si>
  <si>
    <t>10/30/2024 - CM-S</t>
  </si>
  <si>
    <t>39.70596</t>
  </si>
  <si>
    <t>-75.55010</t>
  </si>
  <si>
    <t>3076 New Castle Avenue</t>
  </si>
  <si>
    <t>Replaced NCC-011</t>
  </si>
  <si>
    <t xml:space="preserve">NCC-194 </t>
  </si>
  <si>
    <t>First African-American Schoolhouse in Hockessin</t>
  </si>
  <si>
    <t>39.784851</t>
  </si>
  <si>
    <t>-75.700462</t>
  </si>
  <si>
    <t xml:space="preserve">634 Grant Avenue </t>
  </si>
  <si>
    <t>Marker removed for construction by unknown source, 08/2022. Kent Signs Emailed to pick up to assess 9/1/2022. Reinstalled 11/2022. Site visit needed in early 2025 - CM-S</t>
  </si>
  <si>
    <t xml:space="preserve">NCC-195 </t>
  </si>
  <si>
    <t>Vic Willis</t>
  </si>
  <si>
    <t>3/8/2023 - CM-S 6/15/2023 - CM-S</t>
  </si>
  <si>
    <t>39.674672</t>
  </si>
  <si>
    <t>-75.765503</t>
  </si>
  <si>
    <t>401 Elkton Road</t>
  </si>
  <si>
    <t>https://archives.delaware.gov/delaware-historical-markers/vic-willis/</t>
  </si>
  <si>
    <t>https://archives.delaware.gov/wp-content/uploads/sites/156/2019/06/ncc-195-2.jpg</t>
  </si>
  <si>
    <t xml:space="preserve">NCC-196 </t>
  </si>
  <si>
    <t>Judge Morris Estate</t>
  </si>
  <si>
    <t>8/31/2022 - CM-S 6/26/2024 - CM-S</t>
  </si>
  <si>
    <t>Sen. Karen E. Peterson and Rep. Mike Ramone</t>
  </si>
  <si>
    <t>39.70298</t>
  </si>
  <si>
    <t>-75.70984</t>
  </si>
  <si>
    <t>76 Polly Drummond Hill Road</t>
  </si>
  <si>
    <t>https://archives.delaware.gov/delaware-historical-markers/judge-morris-estate/</t>
  </si>
  <si>
    <t>https://archives.delaware.gov/wp-content/uploads/sites/156/2019/06/ncc-196-24.jpg</t>
  </si>
  <si>
    <t xml:space="preserve">NCC-197 </t>
  </si>
  <si>
    <t>Lombardy Hall</t>
  </si>
  <si>
    <t>1/11/2023 -  CM-S
10/25/2024 - CM-S</t>
  </si>
  <si>
    <t>39.78163</t>
  </si>
  <si>
    <t>-75.544369</t>
  </si>
  <si>
    <t>Lombardy Hall was originally NCC-187, however the wrong ID was imprinted on the marker.</t>
  </si>
  <si>
    <t>https://archives.delaware.gov/delaware-historical-markers/lombardy-hall/</t>
  </si>
  <si>
    <t>https://archives.delaware.gov/wp-content/uploads/sites/156/2019/06/ncc197.jpg</t>
  </si>
  <si>
    <t xml:space="preserve">NCC-197A </t>
  </si>
  <si>
    <t>Riverview Cemetery</t>
  </si>
  <si>
    <t>Sen. Margaret Rose Henry, 2013</t>
  </si>
  <si>
    <t>39.75766</t>
  </si>
  <si>
    <t>-75.528717</t>
  </si>
  <si>
    <t xml:space="preserve">3312 N. Market Street </t>
  </si>
  <si>
    <t>https://archives.delaware.gov/delaware-historical-markers/riverview-cemetery/</t>
  </si>
  <si>
    <t>https://archives.delaware.gov/wp-content/uploads/sites/156/2025/12/nc-197a-25.jpg</t>
  </si>
  <si>
    <t xml:space="preserve">NCC-197B </t>
  </si>
  <si>
    <t>Landing of The Swedes</t>
  </si>
  <si>
    <t>State of Delaware Historic Markers Program, 2008</t>
  </si>
  <si>
    <t>39.73673333</t>
  </si>
  <si>
    <t>-75.53858333</t>
  </si>
  <si>
    <t>Ft. Christina Park, 1110 E 7th Street</t>
  </si>
  <si>
    <t xml:space="preserve">Replaced NCC-009 - located within Fort Christina </t>
  </si>
  <si>
    <t>https://archives.delaware.gov/delaware-historical-markers/landing-of-the-swedes/</t>
  </si>
  <si>
    <t>https://archives.delaware.gov/wp-content/uploads/sites/156/2019/06/ncc-197-b-24.jpg</t>
  </si>
  <si>
    <t xml:space="preserve">NCC-198 </t>
  </si>
  <si>
    <t>Hockessin Friends Meetinghouse</t>
  </si>
  <si>
    <t>Sen. Greg Lavelle, Rep. Deborah Hudson &amp; Rep. Joseph  Miro, 2014</t>
  </si>
  <si>
    <t>39.792622</t>
  </si>
  <si>
    <t>-75.69091</t>
  </si>
  <si>
    <t xml:space="preserve">1501 Old Wilmington Road </t>
  </si>
  <si>
    <t xml:space="preserve">NCC-199 </t>
  </si>
  <si>
    <t>The "Annie Oakleys": First Female Prison Guards in the United States</t>
  </si>
  <si>
    <t>3/14/2022 - CM-S
10/31/2023 - CM-S</t>
  </si>
  <si>
    <t>Sen. Karen Peterson, Sen. Patricia Blevins, Rep. Kimberly Williams</t>
  </si>
  <si>
    <t>39.738674</t>
  </si>
  <si>
    <t>-75.629547</t>
  </si>
  <si>
    <t>210 Greenbank Road  (at entrance to Greenbank Park)</t>
  </si>
  <si>
    <t>https://archives.delaware.gov/delaware-historical-markers/annie-oakleys-first-armed-female-prison-guards-united-states/</t>
  </si>
  <si>
    <t>https://archives.delaware.gov/wp-content/uploads/sites/156/2022/03/ncc_199.jpg</t>
  </si>
  <si>
    <t xml:space="preserve">NCC-200 </t>
  </si>
  <si>
    <t>Mother Union American Methodist Episcopal Church</t>
  </si>
  <si>
    <t>1/24/2023 - CM-S</t>
  </si>
  <si>
    <t>Sen. Robert I. Marshall</t>
  </si>
  <si>
    <t>39.73780</t>
  </si>
  <si>
    <t>-75.54278</t>
  </si>
  <si>
    <t>701 E. 5th Street</t>
  </si>
  <si>
    <t>Marker needs to be relocated on property.  Not visable / inaccessible. CM-S 1/25/2023</t>
  </si>
  <si>
    <t xml:space="preserve">NCC-201 </t>
  </si>
  <si>
    <t>Blue Rock Community Club</t>
  </si>
  <si>
    <t>Sen. Harris McDowell &amp; Rep. Debra L. Heffernan</t>
  </si>
  <si>
    <t>39.76244</t>
  </si>
  <si>
    <t>-75.50383</t>
  </si>
  <si>
    <t>310 Brandywine Boulevard</t>
  </si>
  <si>
    <t>https://archives.delaware.gov/delaware-historical-markers/blue-rock-community-club/</t>
  </si>
  <si>
    <t>https://archives.delaware.gov/wp-content/uploads/sites/156/2019/06/nc-201-25.jpg</t>
  </si>
  <si>
    <t xml:space="preserve">NCC-202 </t>
  </si>
  <si>
    <t>Blackbird School (District No. 69)</t>
  </si>
  <si>
    <t>10/25/2023 - CM-S 1/23/2024 - CM-S</t>
  </si>
  <si>
    <t>39.36974</t>
  </si>
  <si>
    <t>-75.66127</t>
  </si>
  <si>
    <t xml:space="preserve">120 Blackbird Forest Road </t>
  </si>
  <si>
    <t xml:space="preserve">NCC-203 </t>
  </si>
  <si>
    <t>Poplar Hall</t>
  </si>
  <si>
    <t>Sen. Bethany Hall-Long and Rep. Earl G. Jaques, Jr.</t>
  </si>
  <si>
    <t>39.55572</t>
  </si>
  <si>
    <t>-75.77460</t>
  </si>
  <si>
    <t xml:space="preserve">3182 Denny Road </t>
  </si>
  <si>
    <t xml:space="preserve">Greg Shelton (Homeowner) </t>
  </si>
  <si>
    <t>https://archives.delaware.gov/delaware-historical-markers/poplar-hall/</t>
  </si>
  <si>
    <t>https://archives.delaware.gov/wp-content/uploads/sites/156/2019/06/ncc-203-2.jpg</t>
  </si>
  <si>
    <t xml:space="preserve">NCC-204 </t>
  </si>
  <si>
    <t>William Montgomery House</t>
  </si>
  <si>
    <t>12/6/2023 - CM-S
10/25/2024 - CM-S</t>
  </si>
  <si>
    <t>Sen. Karen E. Peterson and Rep. Michael Ramone</t>
  </si>
  <si>
    <t>39.7308329</t>
  </si>
  <si>
    <t>-75.670072</t>
  </si>
  <si>
    <t xml:space="preserve">2900 Old Limestone Road </t>
  </si>
  <si>
    <t>https://archives.delaware.gov/delaware-historical-markers/william-montgomery-house/</t>
  </si>
  <si>
    <t>https://archives.delaware.gov/wp-content/uploads/sites/156/2025/11/nc-204-25.jpg</t>
  </si>
  <si>
    <t xml:space="preserve">NCC-205 </t>
  </si>
  <si>
    <t>Christiana Public School #111-C</t>
  </si>
  <si>
    <t>Sen. Karen E. Peterson &amp; Rep. Michael A. Barbieri</t>
  </si>
  <si>
    <t>39.66853</t>
  </si>
  <si>
    <t>-75.65887</t>
  </si>
  <si>
    <t>50 N. Old Baltimore Pike</t>
  </si>
  <si>
    <t>10/2014</t>
  </si>
  <si>
    <t>https://archives.delaware.gov/delaware-historical-markers/public-school-111c/</t>
  </si>
  <si>
    <t>https://archives.delaware.gov/wp-content/uploads/sites/156/2019/06/ncc-205-24.jpg</t>
  </si>
  <si>
    <t xml:space="preserve">NCC-206 </t>
  </si>
  <si>
    <t>Newark Passenger Railroad Station</t>
  </si>
  <si>
    <t>3/8/2023 - CM-S
12/26/2024 - CM-S</t>
  </si>
  <si>
    <t>Sen. Bethany Hall-Long, Sen. Karen E. Peterson, Rep. John Kowalko &amp; Rep. Paul Baumbach</t>
  </si>
  <si>
    <t>39.670353</t>
  </si>
  <si>
    <t>-75.75288</t>
  </si>
  <si>
    <t xml:space="preserve">429 S. College Avenue </t>
  </si>
  <si>
    <t xml:space="preserve">NCC-207 </t>
  </si>
  <si>
    <t>Delaware Children's Theatre</t>
  </si>
  <si>
    <t>Sen. Robert I. Marshall &amp; Rep. Gerald L. Brady</t>
  </si>
  <si>
    <t>39.751715</t>
  </si>
  <si>
    <t>-75.555904</t>
  </si>
  <si>
    <t xml:space="preserve">1014 Delaware Avenue </t>
  </si>
  <si>
    <t>https://archives.delaware.gov/delaware-historical-markers/delaware-childrens-theater/</t>
  </si>
  <si>
    <t>https://archives.delaware.gov/wp-content/uploads/sites/156/2025/11/nc-207-25.jpg</t>
  </si>
  <si>
    <t xml:space="preserve">NCC-208 </t>
  </si>
  <si>
    <t>Tweed's Tavern</t>
  </si>
  <si>
    <t xml:space="preserve">8/31/2022 - CM-S
</t>
  </si>
  <si>
    <t>Sen. Gregorgy "Greg" F. Lavelle, &amp; Rep. Joseph  Miro</t>
  </si>
  <si>
    <t>39.77710</t>
  </si>
  <si>
    <t>-75.71290</t>
  </si>
  <si>
    <t>46 Fitness Way</t>
  </si>
  <si>
    <t>https://archives.delaware.gov/delaware-historical-markers/tweeds-tavern/</t>
  </si>
  <si>
    <t>https://archives.delaware.gov/wp-content/uploads/sites/156/2019/06/ncc-208.jpg</t>
  </si>
  <si>
    <t xml:space="preserve">NCC-209 </t>
  </si>
  <si>
    <t>Former Site of the Delcastle Prison Farm</t>
  </si>
  <si>
    <t>Sen. Patricia M. Blevins, Rep. Michael J. Ramone</t>
  </si>
  <si>
    <t>39.74777</t>
  </si>
  <si>
    <t>-75.65996</t>
  </si>
  <si>
    <t xml:space="preserve">1013-1015 McKennans Church Road </t>
  </si>
  <si>
    <t>https://archives.delaware.gov/delaware-historical-markers/former-site-of-delcastle-prison-farm/</t>
  </si>
  <si>
    <t>https://archives.delaware.gov/wp-content/uploads/sites/156/2019/06/ncc-209-24.jpg</t>
  </si>
  <si>
    <t xml:space="preserve">NCC-210 </t>
  </si>
  <si>
    <t>Former Site of the Alston and Hunn Farms</t>
  </si>
  <si>
    <t>4/28/2022 - CM-S</t>
  </si>
  <si>
    <t>Sen. Bethany Hall-Long and Rep. S. Quinton Johnson</t>
  </si>
  <si>
    <t>39.45123</t>
  </si>
  <si>
    <t>-75.69144</t>
  </si>
  <si>
    <t xml:space="preserve">120 Silver Lake Road </t>
  </si>
  <si>
    <t xml:space="preserve"> Former </t>
  </si>
  <si>
    <t>On Middletown High School grounds</t>
  </si>
  <si>
    <t xml:space="preserve">NCC-211 </t>
  </si>
  <si>
    <t>Iron Hill School #112-C</t>
  </si>
  <si>
    <t>Sen. Bethany Hall-Long</t>
  </si>
  <si>
    <t>39.631062</t>
  </si>
  <si>
    <t>-75.757811</t>
  </si>
  <si>
    <t>1355 S. Old Baltimore Pike</t>
  </si>
  <si>
    <t>https://archives.delaware.gov/delaware-historical-markers/iron-hill-school-112-c/</t>
  </si>
  <si>
    <t>https://archives.delaware.gov/wp-content/uploads/sites/156/2019/06/ncc-211-25.jpg</t>
  </si>
  <si>
    <t xml:space="preserve">NCC-212 </t>
  </si>
  <si>
    <t>William "Judy" Johnson Memorial Park</t>
  </si>
  <si>
    <t xml:space="preserve"> 2/9/2024 - CM-S</t>
  </si>
  <si>
    <t>10/7/2024 - VLM</t>
  </si>
  <si>
    <t>39.74568</t>
  </si>
  <si>
    <t>-75.56947</t>
  </si>
  <si>
    <t>1600 West 2nd Streeet</t>
  </si>
  <si>
    <t>https://archives.delaware.gov/delaware-historical-markers/william-judy-johnson-park/</t>
  </si>
  <si>
    <t>https://archives.delaware.gov/wp-content/uploads/sites/156/2019/06/ncc-212-24.jpg</t>
  </si>
  <si>
    <t xml:space="preserve">NCC-213 </t>
  </si>
  <si>
    <t>Delaware State Hospital Cemetery</t>
  </si>
  <si>
    <t>Sen. David B. "Dave" McBride &amp; Rep. J.J. Johnson</t>
  </si>
  <si>
    <t>39.702427</t>
  </si>
  <si>
    <t>-75.579588</t>
  </si>
  <si>
    <t>DHSS Herman Holloway Campus,1901 North Dupont Highway (Intersection of Rusten Rd and Ingram Alley)</t>
  </si>
  <si>
    <t xml:space="preserve">NCC-214 </t>
  </si>
  <si>
    <t>Union Lodge No. 5, A.F. &amp; A. M.</t>
  </si>
  <si>
    <t>39.44424</t>
  </si>
  <si>
    <t>-75.71830</t>
  </si>
  <si>
    <t>105 West Park Place</t>
  </si>
  <si>
    <t>https://archives.delaware.gov/delaware-historical-markers/union-lodge-no-5-f-m/</t>
  </si>
  <si>
    <t>https://archives.delaware.gov/wp-content/uploads/sites/156/2025/12/nc-214-25.jpg</t>
  </si>
  <si>
    <t xml:space="preserve">NCC-215 </t>
  </si>
  <si>
    <t>Walnut Street YMCA</t>
  </si>
  <si>
    <t>39.74441</t>
  </si>
  <si>
    <t>-75.54504</t>
  </si>
  <si>
    <t>1000 N. Walnut Street</t>
  </si>
  <si>
    <t>July 2019: Marker removed &amp; sent to Sewah to change architect's name from Whitehead to Whiteside. Corrected and reinstalled 2019</t>
  </si>
  <si>
    <t xml:space="preserve">NCC-216 </t>
  </si>
  <si>
    <t>One Love Park</t>
  </si>
  <si>
    <t>1/21/2023 - DWC 2/9/2024 - CM-S</t>
  </si>
  <si>
    <t>39.75429</t>
  </si>
  <si>
    <t>-75.53852</t>
  </si>
  <si>
    <t>West 24th Street</t>
  </si>
  <si>
    <t>One Love Park (Form. Tatnall Playground)</t>
  </si>
  <si>
    <t>https://archives.delaware.gov/delaware-historical-markers/one-love-park/</t>
  </si>
  <si>
    <t>https://archives.delaware.gov/wp-content/uploads/sites/156/2019/06/ncc-216-3.jpg</t>
  </si>
  <si>
    <t xml:space="preserve">NCC-217 </t>
  </si>
  <si>
    <t xml:space="preserve"> 2/14/2024 - CM-S 10/30/2024 - CM-S</t>
  </si>
  <si>
    <t>39.66250</t>
  </si>
  <si>
    <t>-75.56238</t>
  </si>
  <si>
    <t>140 East 4th Street</t>
  </si>
  <si>
    <t>The historic image provided by research room cannot be this church.  Orientation, sidewalks and cemetery are all wrong.</t>
  </si>
  <si>
    <t>https://archives.delaware.gov/delaware-historical-markers/mount-salem-u-m-church/</t>
  </si>
  <si>
    <t>https://archives.delaware.gov/wp-content/uploads/sites/156/2019/06/nc-217-25.jpg</t>
  </si>
  <si>
    <t xml:space="preserve">NCC-218 </t>
  </si>
  <si>
    <t>St. John the Evangelist Church (Hockessin)</t>
  </si>
  <si>
    <t>Sen. Gregory F. Lavelle &amp; Rep. Deborah Hudson</t>
  </si>
  <si>
    <t>39.79148</t>
  </si>
  <si>
    <t>-75.69771</t>
  </si>
  <si>
    <t>1149 Valley Road</t>
  </si>
  <si>
    <t>https://archives.delaware.gov/delaware-historical-markers/st-john-evangelist-church/</t>
  </si>
  <si>
    <t>https://archives.delaware.gov/wp-content/uploads/sites/156/2019/06/ncc-218.jpg</t>
  </si>
  <si>
    <t xml:space="preserve">NCC-219 </t>
  </si>
  <si>
    <t>James Henry "Nip" Winters</t>
  </si>
  <si>
    <t>8/31/2022 - CM--S</t>
  </si>
  <si>
    <t>Sen. Gregory F. Lavelle &amp; Rep. Colin R.J. Bonini</t>
  </si>
  <si>
    <t>39.78483</t>
  </si>
  <si>
    <t>-75.70503</t>
  </si>
  <si>
    <t>878 Valley Road</t>
  </si>
  <si>
    <t>https://archives.delaware.gov/delaware-historical-markers/nip-winters/</t>
  </si>
  <si>
    <t>https://archives.delaware.gov/wp-content/uploads/sites/156/2019/06/ncc_219.jpg</t>
  </si>
  <si>
    <t xml:space="preserve">NCC-220 </t>
  </si>
  <si>
    <t>Scott Church</t>
  </si>
  <si>
    <t xml:space="preserve"> 10/25/2023 - CM-S
1/23/2024 - CM-S</t>
  </si>
  <si>
    <t xml:space="preserve">Sen. Bruce C. Ennis &amp; Rep. Jeffrey N. "Jeff"  Spiegelman </t>
  </si>
  <si>
    <t>39.36993</t>
  </si>
  <si>
    <t>-75.66142</t>
  </si>
  <si>
    <t xml:space="preserve">123 Blackbird Forest Road </t>
  </si>
  <si>
    <t>https://archives.delaware.gov/delaware-historical-markers/scott-church/</t>
  </si>
  <si>
    <t>https://archives.delaware.gov/wp-content/uploads/sites/156/2025/12/nc-220-25.jpg</t>
  </si>
  <si>
    <t xml:space="preserve">NCC-221 </t>
  </si>
  <si>
    <t>Mt. Zion Union American Methodist Episcopal Church</t>
  </si>
  <si>
    <t>8/31/2022 - CM-S 2/14/2024 - CM-S</t>
  </si>
  <si>
    <t>Rep. Paul Baumbach</t>
  </si>
  <si>
    <t>39.68633</t>
  </si>
  <si>
    <t>-75.75894</t>
  </si>
  <si>
    <t>100 New London Road</t>
  </si>
  <si>
    <t xml:space="preserve">NCC-222 </t>
  </si>
  <si>
    <t>St. Joseph’s on the Brandywine</t>
  </si>
  <si>
    <t>10/31/2023- CM-S
2/9/2024 - CM-S</t>
  </si>
  <si>
    <t>Sen. Gregory F. Lavelle &amp; Rep. Gerald L. Brady</t>
  </si>
  <si>
    <t>39.77202</t>
  </si>
  <si>
    <t>-75.58746</t>
  </si>
  <si>
    <t>10 Old Church Rd</t>
  </si>
  <si>
    <t>St. Joseph's on the Brandywine</t>
  </si>
  <si>
    <t>Patrick Garrett,Facilities Manager pgarrett@stjosephonthebrandywine.org 302-658-7017</t>
  </si>
  <si>
    <t>Marker is on NW corner of Old Church &amp; Montchanin Rds not beside church</t>
  </si>
  <si>
    <t>https://archives.delaware.gov/delaware-historical-markers/st-josephs-brandywine/</t>
  </si>
  <si>
    <t>https://archives.delaware.gov/wp-content/uploads/sites/156/2019/06/ncc_222-2.jpg</t>
  </si>
  <si>
    <t xml:space="preserve">NCC-223 </t>
  </si>
  <si>
    <t>St. Michael's Day Nursery</t>
  </si>
  <si>
    <t>2/14/2023 - CM-S 2/9/2024 - CM-S  10/2/2024 - CM-S
6/4/2024 - CM-S</t>
  </si>
  <si>
    <t>good</t>
  </si>
  <si>
    <t>39.74152</t>
  </si>
  <si>
    <t>-75.54684</t>
  </si>
  <si>
    <t>700 N Walnut St</t>
  </si>
  <si>
    <t>https://archives.delaware.gov/delaware-historical-markers/st-michaels-day-nursery-hospital-babies/</t>
  </si>
  <si>
    <t>https://archives.delaware.gov/wp-content/uploads/sites/156/2019/06/ncc-223.jpg</t>
  </si>
  <si>
    <t xml:space="preserve">NCC-224 </t>
  </si>
  <si>
    <t>Rockland Mill Village</t>
  </si>
  <si>
    <t>12/6/2023 - CM-S
10/30/2024 - CM-S</t>
  </si>
  <si>
    <t>Sen. Gregory F. Lavelle</t>
  </si>
  <si>
    <t>39.79697</t>
  </si>
  <si>
    <t>-75.57455</t>
  </si>
  <si>
    <t>20 Rockland Falls Road</t>
  </si>
  <si>
    <t>Rockland</t>
  </si>
  <si>
    <t>https://archives.delaware.gov/delaware-historical-markers/rockland-mill-village/</t>
  </si>
  <si>
    <t>https://archives.delaware.gov/wp-content/uploads/sites/156/2019/06/ncc-224-2.jpg</t>
  </si>
  <si>
    <t xml:space="preserve">NCC-225 </t>
  </si>
  <si>
    <t>Washington Street Bridge (Washington Memorial Bridge)</t>
  </si>
  <si>
    <t>8/22/2023 - CM-S</t>
  </si>
  <si>
    <t>39.753236</t>
  </si>
  <si>
    <t>-75.547735</t>
  </si>
  <si>
    <t>225 West 16th Street</t>
  </si>
  <si>
    <t>Washington Street Bridge also named Washington Memorial Bridge. DelDOT lists as Washington Memorial. Part of Brandywine Park NRHP Listing.</t>
  </si>
  <si>
    <t>https://archives.delaware.gov/delaware-historical-markers/washington-street-bridge/</t>
  </si>
  <si>
    <t>https://archives.delaware.gov/wp-content/uploads/sites/156/2019/06/nc-225-25.jpg</t>
  </si>
  <si>
    <t xml:space="preserve">NCC-226 </t>
  </si>
  <si>
    <t>Rodney Square</t>
  </si>
  <si>
    <t>12/6/2023 - CM-S 10/2/2024 - CM-S
12/26/2024 - CM-S</t>
  </si>
  <si>
    <t>12/12/2023 - VLM</t>
  </si>
  <si>
    <t>39.74590</t>
  </si>
  <si>
    <t>-75.54749</t>
  </si>
  <si>
    <t>1000 N. Market Street</t>
  </si>
  <si>
    <t>Marker removed for unknown reasons in 2020, reinstalled 01/28/2021. Kent Signs found a Rodney Square marker that potentially has incorrect information. Requested photo to compare text/site visit needed to confirm. CM-S? -Confirmed - marker is up and old marker being sent for destruction 9/26/2023 - VLM</t>
  </si>
  <si>
    <t>https://archives.delaware.gov/delaware-historical-markers/rodney-square/</t>
  </si>
  <si>
    <t>https://archives.delaware.gov/wp-content/uploads/sites/156/2019/06/ncc-226-2.jpg</t>
  </si>
  <si>
    <t xml:space="preserve">NCC-227 </t>
  </si>
  <si>
    <t>Fort DuPont</t>
  </si>
  <si>
    <t>5/16/2022 - CM-S</t>
  </si>
  <si>
    <t>Sen. Nicole Poore &amp; Rep. Valerie J. Longhurst</t>
  </si>
  <si>
    <t>39.56987</t>
  </si>
  <si>
    <t>-75.58976</t>
  </si>
  <si>
    <t>5th St, Delaware City, DE 19706</t>
  </si>
  <si>
    <t>SEE MARKER FILE EMAIL FROM 12/19/2022</t>
  </si>
  <si>
    <t>https://archives.delaware.gov/delaware-historical-markers/fort-dupont/</t>
  </si>
  <si>
    <t>https://archives.delaware.gov/wp-content/uploads/sites/156/2019/06/ncc_227.jpg</t>
  </si>
  <si>
    <t xml:space="preserve">NCC-228 </t>
  </si>
  <si>
    <t>The Daniel Nichols House</t>
  </si>
  <si>
    <t>Sen. Gregory F. "Greg" Lavelle &amp; Rep. Joseph G. "Joe" DiPinto</t>
  </si>
  <si>
    <t>39.76988</t>
  </si>
  <si>
    <t>-75.70947</t>
  </si>
  <si>
    <t>297 Chippenham Lane</t>
  </si>
  <si>
    <t>https://archives.delaware.gov/delaware-historical-markers/daniel-nichols-house/</t>
  </si>
  <si>
    <t>https://archives.delaware.gov/wp-content/uploads/sites/156/2019/06/ncc-228-24.jpg</t>
  </si>
  <si>
    <t xml:space="preserve">NCC-229 </t>
  </si>
  <si>
    <t>African Union Church Cemetery</t>
  </si>
  <si>
    <t>39.56714</t>
  </si>
  <si>
    <t>-75.59178</t>
  </si>
  <si>
    <t>107 West 5th Street</t>
  </si>
  <si>
    <t>Polktown</t>
  </si>
  <si>
    <t xml:space="preserve">NCC-230 </t>
  </si>
  <si>
    <t>The Collins Park Bombings</t>
  </si>
  <si>
    <t>39.693222</t>
  </si>
  <si>
    <t>-75.554342</t>
  </si>
  <si>
    <t>100 Killoran Drive</t>
  </si>
  <si>
    <t>On corner of property toward intersection</t>
  </si>
  <si>
    <t xml:space="preserve">NCC-231 </t>
  </si>
  <si>
    <t>The Last Mustering of the Delaware Continentals</t>
  </si>
  <si>
    <t>Rep. David Bentz</t>
  </si>
  <si>
    <t>39.66367</t>
  </si>
  <si>
    <t>-75.65626</t>
  </si>
  <si>
    <t>Lewden Greene Park, 400 Christiana Road</t>
  </si>
  <si>
    <t>https://archives.delaware.gov/delaware-historical-markers/last-mustering-of-the-delaware-continentals/</t>
  </si>
  <si>
    <t>https://archives.delaware.gov/wp-content/uploads/sites/156/2022/10/ncc-231.jpg</t>
  </si>
  <si>
    <t xml:space="preserve">NCC-232 </t>
  </si>
  <si>
    <t>Original Site of the White Clay Creek Presbyterian Church</t>
  </si>
  <si>
    <t>Sen. John "Jack" Walsh
Rep. Michael J. Ramone (2017) / State of Delaware Historical Markers Program (2022)</t>
  </si>
  <si>
    <t>39.71247</t>
  </si>
  <si>
    <t>-75.70818</t>
  </si>
  <si>
    <t>1418 Old Coach Road</t>
  </si>
  <si>
    <t>Tree fell on marker in storm in Aug. 2020. Repaired and Installed 5/18/2021.</t>
  </si>
  <si>
    <t>https://archives.delaware.gov/delaware-historical-markers/original-site-white-clay-creek-presbyterian-church/</t>
  </si>
  <si>
    <t>https://archives.delaware.gov/wp-content/uploads/sites/156/2019/06/NCC-232.jpeg</t>
  </si>
  <si>
    <t xml:space="preserve">NCC-233 </t>
  </si>
  <si>
    <t>Fells Mill Historic District</t>
  </si>
  <si>
    <t>12/6/2023 - CM-S 2/9/2024 - CM-S</t>
  </si>
  <si>
    <t>1/29/2024 - VLM</t>
  </si>
  <si>
    <t>Sen. Anthony Delcollo</t>
  </si>
  <si>
    <t>39.74147</t>
  </si>
  <si>
    <t>-75.54690</t>
  </si>
  <si>
    <t>3040 Faulkland Rd, approx 600 ft.  East of Brandywine Springs Park entrance</t>
  </si>
  <si>
    <t>9/2017</t>
  </si>
  <si>
    <t>https://archives.delaware.gov/delaware-historical-markers/fells-mill-historic-district/</t>
  </si>
  <si>
    <t>https://archives.delaware.gov/wp-content/uploads/sites/156/2019/06/ncc-233-2.jpg</t>
  </si>
  <si>
    <t xml:space="preserve">NCC-234 </t>
  </si>
  <si>
    <t>The Tilton Mansion</t>
  </si>
  <si>
    <t>39.75058</t>
  </si>
  <si>
    <t>-75.56291</t>
  </si>
  <si>
    <t>805 North Broom Street</t>
  </si>
  <si>
    <t>University &amp; Whist Club</t>
  </si>
  <si>
    <t>11/2017</t>
  </si>
  <si>
    <t>https://archives.delaware.gov/delaware-historical-markers/the-tilton-mansion/</t>
  </si>
  <si>
    <t>https://archives.delaware.gov/wp-content/uploads/sites/156/2019/06/ncc-234-2.jpg</t>
  </si>
  <si>
    <t xml:space="preserve">NCC-235 </t>
  </si>
  <si>
    <t>The Ashton Tract</t>
  </si>
  <si>
    <t>5/5/2022 - CM-S
10/25/2023 - CM-S</t>
  </si>
  <si>
    <t>Sen. Bruce C. Ennis, Rep. Kevin S. Hensley</t>
  </si>
  <si>
    <t>39.52917</t>
  </si>
  <si>
    <t>-75.58575</t>
  </si>
  <si>
    <t>507 Thorntown Road</t>
  </si>
  <si>
    <t>Near entrance of Ashton Tract / Augustine Wildlife area</t>
  </si>
  <si>
    <t xml:space="preserve">NCC-236 </t>
  </si>
  <si>
    <t>Forty Acres</t>
  </si>
  <si>
    <t>10/31/2023 - CM-S
12/6/2023 - CM-S</t>
  </si>
  <si>
    <t>Sen. Harris B. McDowell III, Rep. Gerald L. Brady</t>
  </si>
  <si>
    <t>39.758207</t>
  </si>
  <si>
    <t>-75.562659</t>
  </si>
  <si>
    <t xml:space="preserve">1701 Delaware Avenue </t>
  </si>
  <si>
    <t>https://archives.delaware.gov/delaware-historical-markers/forty-acres/</t>
  </si>
  <si>
    <t>https://archives.delaware.gov/wp-content/uploads/sites/156/2025/09/nc-236-25.jpg</t>
  </si>
  <si>
    <t xml:space="preserve">NCC-237 </t>
  </si>
  <si>
    <t>Witherspoon Tavern</t>
  </si>
  <si>
    <t xml:space="preserve"> 4/31/2022 - CM-S 12/21/2022 - DWC
10/25/2024 - CM-S</t>
  </si>
  <si>
    <t>39.44960</t>
  </si>
  <si>
    <t>-75.71706</t>
  </si>
  <si>
    <t xml:space="preserve">12 W. Main Street </t>
  </si>
  <si>
    <t xml:space="preserve">NCC-238 </t>
  </si>
  <si>
    <t>Burton v. Wilmington Parking Authority</t>
  </si>
  <si>
    <t>Sen. Margaret Rose Henry &amp; Rep. Stephanie T. Bolden</t>
  </si>
  <si>
    <t>39.74516</t>
  </si>
  <si>
    <t>-75.54894</t>
  </si>
  <si>
    <t>116 W. 9th Street (Installed on N. Shipley Street side of the intersection)</t>
  </si>
  <si>
    <t>https://archives.delaware.gov/delaware-historical-markers/burton-v-wilmington-parking-authority/</t>
  </si>
  <si>
    <t>https://archives.delaware.gov/wp-content/uploads/sites/156/2019/06/ncc_238.jpg</t>
  </si>
  <si>
    <t xml:space="preserve">NCC-239 </t>
  </si>
  <si>
    <t>Mount Pleasant Methodist Episcopal (ME) Church and Parsonage</t>
  </si>
  <si>
    <t>12/6/2023 - CM-S 2/9/2024 - CM-S 10/30/2024 - CM-S</t>
  </si>
  <si>
    <t>Rep. Debra Heffernan</t>
  </si>
  <si>
    <t>39.77690</t>
  </si>
  <si>
    <t>-75.49059</t>
  </si>
  <si>
    <t>1009 Philadelphia Pike, located on edge of Bellevue State Park</t>
  </si>
  <si>
    <t>https://archives.delaware.gov/delaware-historical-markers/mount-pleasant-me-church-and-parsonage/</t>
  </si>
  <si>
    <t>https://archives.delaware.gov/wp-content/uploads/sites/156/2019/06/ncc-239-24.jpg</t>
  </si>
  <si>
    <t xml:space="preserve">NCC-240 </t>
  </si>
  <si>
    <t>Louis L. Redding Comprehensive High School</t>
  </si>
  <si>
    <t>4/28/2022 - CM-S
10/25/2024 - CM-S</t>
  </si>
  <si>
    <t>39.45348</t>
  </si>
  <si>
    <t>-75.71010</t>
  </si>
  <si>
    <t>302 East Lake Street</t>
  </si>
  <si>
    <t>Across street from address on Louis L. Redding Middle School property</t>
  </si>
  <si>
    <t>https://archives.delaware.gov/delaware-historical-markers/louis-l-redding-comprehensive-high-school/</t>
  </si>
  <si>
    <t>https://archives.delaware.gov/wp-content/uploads/sites/156/2019/06/ncc-240-2.jpg</t>
  </si>
  <si>
    <t xml:space="preserve">NCC-241 </t>
  </si>
  <si>
    <t>Village of Port Penn</t>
  </si>
  <si>
    <t>Sen. Bruce C. Ennis &amp; Rep. Kevin Hensley</t>
  </si>
  <si>
    <t>39.51762</t>
  </si>
  <si>
    <t>-75.57925</t>
  </si>
  <si>
    <t>1 West Market Street</t>
  </si>
  <si>
    <t>Port Penn Interpretive Center</t>
  </si>
  <si>
    <t>https://archives.delaware.gov/delaware-historical-markers/village-of-port-penn/</t>
  </si>
  <si>
    <t>https://archives.delaware.gov/wp-content/uploads/sites/156/2019/06/ncc_241.jpg</t>
  </si>
  <si>
    <t xml:space="preserve">NCC-242 </t>
  </si>
  <si>
    <t>Delaware Chemical Engineering Company</t>
  </si>
  <si>
    <t>Sen. Harris B. McDowell, III &amp; Rep. Nnamdi O. Chukwuocha</t>
  </si>
  <si>
    <t>39.765869</t>
  </si>
  <si>
    <t>-75.537592</t>
  </si>
  <si>
    <t>3101 Miller Rd</t>
  </si>
  <si>
    <t>https://archives.delaware.gov/delaware-historical-markers/delaware-chemical-engineering-company/</t>
  </si>
  <si>
    <t>https://archives.delaware.gov/wp-content/uploads/sites/156/2025/10/nc-242-25.jpg</t>
  </si>
  <si>
    <t xml:space="preserve">NCC-243 </t>
  </si>
  <si>
    <t>The Monday Club</t>
  </si>
  <si>
    <t>1/24/2023 - CM-S  10/2/2024 - CM-S</t>
  </si>
  <si>
    <t>Rep. Stephanie T. Bolden</t>
  </si>
  <si>
    <t xml:space="preserve"> 39.7444699</t>
  </si>
  <si>
    <t xml:space="preserve"> -75.546430</t>
  </si>
  <si>
    <t>903 N French St</t>
  </si>
  <si>
    <t xml:space="preserve">NCC-244 </t>
  </si>
  <si>
    <t>The Lynching of George White</t>
  </si>
  <si>
    <t xml:space="preserve"> 10/31/2023 - CM-S</t>
  </si>
  <si>
    <t>Sen. Darius J. Brown</t>
  </si>
  <si>
    <t>39.737662</t>
  </si>
  <si>
    <t>-75.631003</t>
  </si>
  <si>
    <t>250 Greenbank Road (near brick tower)</t>
  </si>
  <si>
    <t>1st marker was stolen in late July or early August 2019. A replacement marker was reinstalled &amp; rededicated in October 2019.</t>
  </si>
  <si>
    <t>https://archives.delaware.gov/delaware-historical-markers/the-lynching-of-george-white/</t>
  </si>
  <si>
    <t>https://archives.delaware.gov/wp-content/uploads/sites/156/2025/09/nc-244-25.jpg</t>
  </si>
  <si>
    <t xml:space="preserve">NCC-245 </t>
  </si>
  <si>
    <t>New London Road Community</t>
  </si>
  <si>
    <t>39.68542</t>
  </si>
  <si>
    <t>-75.75828</t>
  </si>
  <si>
    <t xml:space="preserve">Information corrected and reinstalled 02/04/2020. Kent Signs found incorrect marker, 3/25/2022. </t>
  </si>
  <si>
    <t>https://archives.delaware.gov/delaware-historical-markers/new-london-road-community/</t>
  </si>
  <si>
    <t>https://archives.delaware.gov/wp-content/uploads/sites/156/2019/06/ncc-245.jpg</t>
  </si>
  <si>
    <t xml:space="preserve">NCC-246 </t>
  </si>
  <si>
    <t>Brandywine Village and the Road to Yorktown</t>
  </si>
  <si>
    <t>3/16/2023 - CM-S 9/12/2023 - CM-S 2/9/2024 - CM-S</t>
  </si>
  <si>
    <t>39.75126</t>
  </si>
  <si>
    <t>-75.54281</t>
  </si>
  <si>
    <t>1800 North Market Street</t>
  </si>
  <si>
    <t>Brandywine Mills Plaza</t>
  </si>
  <si>
    <t>https://archives.delaware.gov/delaware-historical-markers/brandywine-village-and-the-road-to-yorktown/</t>
  </si>
  <si>
    <t>https://archives.delaware.gov/wp-content/uploads/sites/156/2023/09/nc-246-3.jpg</t>
  </si>
  <si>
    <t xml:space="preserve">NCC-247 </t>
  </si>
  <si>
    <t>Crooked Billet</t>
  </si>
  <si>
    <t>39.77083</t>
  </si>
  <si>
    <t>-75.59005</t>
  </si>
  <si>
    <t>3508 Kennett Pike</t>
  </si>
  <si>
    <t>10/172019</t>
  </si>
  <si>
    <t>https://archives.delaware.gov/delaware-historical-markers/crooked-billet/</t>
  </si>
  <si>
    <t>https://archives.delaware.gov/wp-content/uploads/sites/156/2019/06/ncc-247.jpg</t>
  </si>
  <si>
    <t xml:space="preserve">NCC-248 </t>
  </si>
  <si>
    <t>Abraham Shadd Family</t>
  </si>
  <si>
    <t>1/25/2023 - CM-S  10/2/2024 - CM-S</t>
  </si>
  <si>
    <t>Sen. S. Elizabeth "Tizzy" Lockman</t>
  </si>
  <si>
    <t>39.74358</t>
  </si>
  <si>
    <t>-75.54779</t>
  </si>
  <si>
    <t>849 N. French Street</t>
  </si>
  <si>
    <t>https://archives.delaware.gov/delaware-historical-markers/abraham-shadd-family/</t>
  </si>
  <si>
    <t>https://archives.delaware.gov/wp-content/uploads/sites/156/2019/06/ncc_248.jpg</t>
  </si>
  <si>
    <t xml:space="preserve">NCC-249 </t>
  </si>
  <si>
    <t>Harvey Barn</t>
  </si>
  <si>
    <t>12/18/20203 - VLM</t>
  </si>
  <si>
    <t>Sen. Catherine "Cathy" Cloutier</t>
  </si>
  <si>
    <t>39.80813</t>
  </si>
  <si>
    <t>-75.48295</t>
  </si>
  <si>
    <t>2208 Millers Road</t>
  </si>
  <si>
    <t>Candlelight Theatre</t>
  </si>
  <si>
    <t xml:space="preserve"> BoxOffice@candlelightde.org 302-475-2313</t>
  </si>
  <si>
    <t xml:space="preserve">https://archives.delaware.gov/delaware-historical-markers/harvey-barn/ </t>
  </si>
  <si>
    <t xml:space="preserve">https://archives.delaware.gov/wp-content/uploads/sites/156/2019/06/ncc_249-2.jpg </t>
  </si>
  <si>
    <t xml:space="preserve">NCC-250 </t>
  </si>
  <si>
    <t>Memorial Day Parade and Soldiers and Sailors Monument</t>
  </si>
  <si>
    <t>10/31/2023 - CM-S
12/26/2024 - CM-S</t>
  </si>
  <si>
    <t>39.75503</t>
  </si>
  <si>
    <t>-75.55927</t>
  </si>
  <si>
    <t>1311 Delaware Avenue</t>
  </si>
  <si>
    <t>Misspelling, replacement ordered. Replacement marker damaged, sent to Sewah for repairs in 12/20. Reinstalled 5/20/2021.</t>
  </si>
  <si>
    <t>https://archives.delaware.gov/delaware-historical-markers/memorial-day-parade-and-soldiers-and-sailors-monument/</t>
  </si>
  <si>
    <t>https://archives.delaware.gov/wp-content/uploads/sites/156/2023/11/ncc_250-2.jpg</t>
  </si>
  <si>
    <t xml:space="preserve">NCC-251 </t>
  </si>
  <si>
    <t>Site of African Union Church and Cemetery</t>
  </si>
  <si>
    <t>5/5/2022 - CM-S
7/17/2028 - CM-S</t>
  </si>
  <si>
    <t>Sen. David B. "Dave" McBride</t>
  </si>
  <si>
    <t>39.65711</t>
  </si>
  <si>
    <t>-75.6544.3</t>
  </si>
  <si>
    <t>2000 Varsity Lane</t>
  </si>
  <si>
    <t>https://archives.delaware.gov/delaware-historical-markers/site-of-african-union-church-and-cemetery/</t>
  </si>
  <si>
    <t>https://archives.delaware.gov/wp-content/uploads/sites/156/2019/06/NCC_251.jpeg</t>
  </si>
  <si>
    <t xml:space="preserve">NCC-252 </t>
  </si>
  <si>
    <t>Cox-Phillips-Mitchell Agricultural Complex</t>
  </si>
  <si>
    <t>Sen. David P. Sokola &amp; Rep. Krista Griffith</t>
  </si>
  <si>
    <t>39.794436</t>
  </si>
  <si>
    <t>-75.69692</t>
  </si>
  <si>
    <t>1655 Old Wilmington Rd</t>
  </si>
  <si>
    <t>https://archives.delaware.gov/delaware-historical-markers/cox-phillips-mitchell-agricultural-complex/</t>
  </si>
  <si>
    <t>https://archives.delaware.gov/wp-content/uploads/sites/156/2019/06/ncc-252.jpg</t>
  </si>
  <si>
    <t xml:space="preserve">NCC-253 </t>
  </si>
  <si>
    <t>Women's Suffrage Parade</t>
  </si>
  <si>
    <t>4/2/2024 - VLM</t>
  </si>
  <si>
    <t>39.73773</t>
  </si>
  <si>
    <t>-75.55026</t>
  </si>
  <si>
    <t>101 North Walnut Street</t>
  </si>
  <si>
    <t>East Front Street Park</t>
  </si>
  <si>
    <t>https://archives.delaware.gov/delaware-historical-markers/womens-suffrage-parade/</t>
  </si>
  <si>
    <t>https://archives.delaware.gov/wp-content/uploads/sites/156/2019/06/ncc-253-24.jpg</t>
  </si>
  <si>
    <t xml:space="preserve">NCC-254 </t>
  </si>
  <si>
    <t>Farnhurst Potter's Field - New Castle County Hospital Cemetery</t>
  </si>
  <si>
    <t>39.697556</t>
  </si>
  <si>
    <t>-75.580813</t>
  </si>
  <si>
    <t>660 Baylor Blvd</t>
  </si>
  <si>
    <t>https://archives.delaware.gov/delaware-historical-markers/farnhurst-potters-field-new-castle-county-hospital-cemetery/</t>
  </si>
  <si>
    <t>https://archives.delaware.gov/wp-content/uploads/sites/156/2019/06/nc-254-25.jpg</t>
  </si>
  <si>
    <t xml:space="preserve">NCC-255 </t>
  </si>
  <si>
    <t>Newark Union Church and Cemetery</t>
  </si>
  <si>
    <t xml:space="preserve">1/11/2023 - CM-S 10/30/2024 - CM-S
</t>
  </si>
  <si>
    <t>7/19/2023 - CM-S</t>
  </si>
  <si>
    <t>Sen. Catherine "Cathy" Clouiter</t>
  </si>
  <si>
    <t>39.78604</t>
  </si>
  <si>
    <t>-75.51346</t>
  </si>
  <si>
    <t>8 Newark Union Public Rd</t>
  </si>
  <si>
    <t>https://archives.delaware.gov/delaware-historical-markers/newark-union-church-and-cemetery/</t>
  </si>
  <si>
    <t>https://archives.delaware.gov/wp-content/uploads/sites/156/2019/06/ncc-255-2.jpg</t>
  </si>
  <si>
    <t>NCC-256</t>
  </si>
  <si>
    <t xml:space="preserve">NCC-257 </t>
  </si>
  <si>
    <t>Henry Clay Village</t>
  </si>
  <si>
    <t>12/6/2023 - CM-S 2/9/2024 - CM-S
10/30/2024 - CM-S</t>
  </si>
  <si>
    <t>39.77040</t>
  </si>
  <si>
    <t>-75.57974</t>
  </si>
  <si>
    <t>101 Stone Block Row</t>
  </si>
  <si>
    <t>https://archives.delaware.gov/delaware-historical-markers/henry-clay-village/</t>
  </si>
  <si>
    <t>https://archives.delaware.gov/wp-content/uploads/sites/156/2019/06/ncc_257.jpg</t>
  </si>
  <si>
    <t xml:space="preserve">NCC-258 </t>
  </si>
  <si>
    <t>Equal Suffrage Study Club</t>
  </si>
  <si>
    <t>107 5th Street</t>
  </si>
  <si>
    <t>https://archives.delaware.gov/delaware-historical-markers/equal-suffrage-study-club/</t>
  </si>
  <si>
    <t>https://archives.delaware.gov/wp-content/uploads/sites/156/2019/06/ncc-258-2.jpg</t>
  </si>
  <si>
    <t xml:space="preserve">NCC-259 </t>
  </si>
  <si>
    <t>Industrial School for Colored Girls</t>
  </si>
  <si>
    <t>8/22/2024 - VLM 10/2/2024 - CM-S</t>
  </si>
  <si>
    <t>Sen. Spiros Mantzavinos Representive Kim Williams</t>
  </si>
  <si>
    <t>39.72815</t>
  </si>
  <si>
    <t>-75.62205</t>
  </si>
  <si>
    <t>1402 Newport Gap Pike</t>
  </si>
  <si>
    <t>DelCastle High School</t>
  </si>
  <si>
    <t xml:space="preserve">Donato "Danny" Rufo, Delcastle HS </t>
  </si>
  <si>
    <t>Unveiling event held 8/22/2024.</t>
  </si>
  <si>
    <t xml:space="preserve">NCC-260 </t>
  </si>
  <si>
    <t xml:space="preserve">NCC-261 </t>
  </si>
  <si>
    <t>Augustine Beach</t>
  </si>
  <si>
    <t>9/10/2024  - VLM</t>
  </si>
  <si>
    <t>Rep. Kevin Hensley
Sen. Bruce C. Ennis</t>
  </si>
  <si>
    <t>39.50720</t>
  </si>
  <si>
    <t>-75.57940</t>
  </si>
  <si>
    <t>1887 St. Augustine Rd</t>
  </si>
  <si>
    <t xml:space="preserve">Augustine Beach Access Area </t>
  </si>
  <si>
    <t>https://archives.delaware.gov/delaware-historical-markers/augustine-beach/</t>
  </si>
  <si>
    <t>https://archives.delaware.gov/wp-content/uploads/sites/156/2019/06/ncc-261-24.jpg</t>
  </si>
  <si>
    <t xml:space="preserve">NCC-262  </t>
  </si>
  <si>
    <t>Wilmington Park</t>
  </si>
  <si>
    <t xml:space="preserve">NCC-263 </t>
  </si>
  <si>
    <t>Absalom Jones School</t>
  </si>
  <si>
    <t>8/8/2024 
10/2/2024 - CM-S</t>
  </si>
  <si>
    <t>Sen. John "Jack" Walsh, Sen. Mantzavinos, Rep. Kimberly Williams</t>
  </si>
  <si>
    <t>39.72246</t>
  </si>
  <si>
    <t>-75.62266</t>
  </si>
  <si>
    <t>310 Kiamensi Road</t>
  </si>
  <si>
    <t>Absalom Jones Community Center/Belvedere State Service Center</t>
  </si>
  <si>
    <t xml:space="preserve">State Facilities OMB, Dep Director Tom Cuccia </t>
  </si>
  <si>
    <t xml:space="preserve">NCC-264 </t>
  </si>
  <si>
    <t>General Weedon's Foray at Spring Grove</t>
  </si>
  <si>
    <t>7-20-2023 - VM 12/6/2023 - CM-S 6/26/2024 - CM-S</t>
  </si>
  <si>
    <t>Rep. Michael J. Ramone</t>
  </si>
  <si>
    <t>39.75030</t>
  </si>
  <si>
    <t>-75.67984</t>
  </si>
  <si>
    <t>3200 Stoney Batter Road</t>
  </si>
  <si>
    <t>Marker installed 7/13/2023</t>
  </si>
  <si>
    <t>https://archives.delaware.gov/delaware-historical-markers/site-of-general-weedons-foray-at-spring-grove/</t>
  </si>
  <si>
    <t>https://archives.delaware.gov/wp-content/uploads/sites/156/2019/06/ncc-264-24.jpg</t>
  </si>
  <si>
    <t xml:space="preserve">NCC-A1 </t>
  </si>
  <si>
    <t>Holy Trinity Church</t>
  </si>
  <si>
    <t>9/12/2023 - CM-S 7/17/24 - VLM</t>
  </si>
  <si>
    <t>39.73890</t>
  </si>
  <si>
    <t>-75.54064</t>
  </si>
  <si>
    <t>606 North Church Street</t>
  </si>
  <si>
    <t>Wall Plaque, Historical Markers Commission</t>
  </si>
  <si>
    <t>https://archives.delaware.gov/delaware-historical-markers/holy-trinity-church/</t>
  </si>
  <si>
    <t>https://archives.delaware.gov/wp-content/uploads/sites/156/2024/06/ncc-a1-24-3.jpg</t>
  </si>
  <si>
    <t xml:space="preserve">NCC-A10 </t>
  </si>
  <si>
    <t>Asbury Methodist Episcopal Church</t>
  </si>
  <si>
    <t>12/6/2023 - CM-S  6/4/2024 - CM-S  10/2/2024 - CM-S</t>
  </si>
  <si>
    <t>39.73858</t>
  </si>
  <si>
    <t>-75.54905</t>
  </si>
  <si>
    <t>226 North Walnut Street</t>
  </si>
  <si>
    <t>Old Asbury UM Church</t>
  </si>
  <si>
    <t>https://archives.delaware.gov/delaware-historical-markers/asbury-methodist-episcopal-church/</t>
  </si>
  <si>
    <t>https://archives.delaware.gov/wp-content/uploads/sites/156/2019/06/ncc-a10-24.jpg</t>
  </si>
  <si>
    <t xml:space="preserve">NCC-A11 </t>
  </si>
  <si>
    <t>9/13/2023 - CM-S 10/30/2024 - CM-S</t>
  </si>
  <si>
    <t>39.63377</t>
  </si>
  <si>
    <t>-75.63934</t>
  </si>
  <si>
    <t>NCC-A12</t>
  </si>
  <si>
    <t>Talbot's Fort</t>
  </si>
  <si>
    <t>NCC-A12 - Talbot's Fort</t>
  </si>
  <si>
    <t>4/11/2024 - CM-S 6/26/2024 - CM-S</t>
  </si>
  <si>
    <t>39.66790</t>
  </si>
  <si>
    <t>-75.66727</t>
  </si>
  <si>
    <t>401 Eagle Run</t>
  </si>
  <si>
    <t>Under group of trees on the SOUTH side of Delmarva Power &amp; Light Company parking lot (Between south side of parking lot and Christiana Road). Not on inventories prior to 2024.  Discovered by CM-S</t>
  </si>
  <si>
    <t>https://archives.delaware.gov/delaware-historical-markers/talbots-fort/</t>
  </si>
  <si>
    <t>https://archives.delaware.gov/wp-content/uploads/sites/156/2019/06/ncc-a12-2-24.jpg</t>
  </si>
  <si>
    <t>NCC-A13</t>
  </si>
  <si>
    <t>"Sign of the Ship" Tavern</t>
  </si>
  <si>
    <t>NCC-A13 - "Sign of the Ship" Tavern</t>
  </si>
  <si>
    <t>39.73970</t>
  </si>
  <si>
    <t>-75.55158</t>
  </si>
  <si>
    <t>230 North Market Street</t>
  </si>
  <si>
    <t>Embedded on wall (On East 3rd Street side of building) Not on inventories prior to 2024.  Discovered by CM-S.</t>
  </si>
  <si>
    <t>https://archives.delaware.gov/delaware-historical-markers/sign-of-the-ship-tavern-2/</t>
  </si>
  <si>
    <t>https://archives.delaware.gov/wp-content/uploads/sites/156/2019/06/ncc-a13-24.jpg</t>
  </si>
  <si>
    <t>NCC-A14</t>
  </si>
  <si>
    <t>Cooch House</t>
  </si>
  <si>
    <t>NCC-A14 - Cooch House</t>
  </si>
  <si>
    <t>10/25/2024 - CM-S</t>
  </si>
  <si>
    <t>39.63955</t>
  </si>
  <si>
    <t>-75.73757</t>
  </si>
  <si>
    <t>961 South Old Baltimore Pike</t>
  </si>
  <si>
    <t>Not added to any inventory prior to 2024.  Discovered by CM-S.</t>
  </si>
  <si>
    <t>NCC-A15</t>
  </si>
  <si>
    <t>Delaware Bank Building</t>
  </si>
  <si>
    <t>NCC-A15 - Delaware Bank Building</t>
  </si>
  <si>
    <t>10/25/2024 - CM-S
12/26/2024 - CM-S</t>
  </si>
  <si>
    <t>39.76217</t>
  </si>
  <si>
    <t>1925 Lovering Avenue</t>
  </si>
  <si>
    <t>Not added to any inventory prior to 2024.  Discovered by VLM.</t>
  </si>
  <si>
    <t>1932, 1953</t>
  </si>
  <si>
    <t xml:space="preserve">NCC-A16 </t>
  </si>
  <si>
    <t>NCC-A16 - Old Town Hall</t>
  </si>
  <si>
    <t>See NCC-150</t>
  </si>
  <si>
    <t>Not added to any inventory prior to 2024.  Discovered by VLM. Marker replaced by large bronze NCC-109 Old Town Hall.</t>
  </si>
  <si>
    <t xml:space="preserve">NCC-A17 </t>
  </si>
  <si>
    <t>Shipley House</t>
  </si>
  <si>
    <t>NCC-A17 - Shipley House</t>
  </si>
  <si>
    <t xml:space="preserve">Building and marker demoilshed </t>
  </si>
  <si>
    <t>Not added to any inventory prior to 2024.  Discovered by VLM. Missing and location long gone. New DelTech build stands there.</t>
  </si>
  <si>
    <t>NCC-A18</t>
  </si>
  <si>
    <t>Fort Christina</t>
  </si>
  <si>
    <t>NCC-A18 - Fort Christina</t>
  </si>
  <si>
    <t>9/25/2025 - CM-S</t>
  </si>
  <si>
    <t>Division of Historical and Cultural Affairs</t>
  </si>
  <si>
    <t>-75.53858</t>
  </si>
  <si>
    <t>Ft. Christina Park</t>
  </si>
  <si>
    <t>Set of five (5) tin State of Delaware Historic Markers, produced by Historical and Cultural Affairs, not on any inventory.  Discovered by CM-S and added 3/2/2025.</t>
  </si>
  <si>
    <t>Tin</t>
  </si>
  <si>
    <t xml:space="preserve">NCC-A2 </t>
  </si>
  <si>
    <t>Joseph Tatnall House</t>
  </si>
  <si>
    <t>9/12/2023 - CM-S 2/9/2024 - CM-S</t>
  </si>
  <si>
    <t>39.75132</t>
  </si>
  <si>
    <t>-75.54327</t>
  </si>
  <si>
    <t>1803 N Market St</t>
  </si>
  <si>
    <t>https://archives.delaware.gov/delaware-historical-markers/joseph-tatnall-house/</t>
  </si>
  <si>
    <t>https://archives.delaware.gov/wp-content/uploads/sites/156/2019/06/ncc-a2-2.jpg</t>
  </si>
  <si>
    <t xml:space="preserve">NCC-A3 </t>
  </si>
  <si>
    <t>Old College, UD Newark</t>
  </si>
  <si>
    <t>3/8/2023 - CM-S 
8/5/2024 - MLD
2/14/2024 - CM-S
12/26/2024 - CM-S</t>
  </si>
  <si>
    <t>1/13/2025 - VLM</t>
  </si>
  <si>
    <t>39.68383</t>
  </si>
  <si>
    <t>-75.75373</t>
  </si>
  <si>
    <t>18 E Main St</t>
  </si>
  <si>
    <t>https://archives.delaware.gov/delaware-historical-markers/old-college-a3/</t>
  </si>
  <si>
    <t>https://archives.delaware.gov/wp-content/uploads/sites/156/2019/06/ncc-a3-25.jpg</t>
  </si>
  <si>
    <t xml:space="preserve">NCC-A4 </t>
  </si>
  <si>
    <t>John Dickinson</t>
  </si>
  <si>
    <t>39.742120</t>
  </si>
  <si>
    <t>-75.55513</t>
  </si>
  <si>
    <t>403 Washington Street</t>
  </si>
  <si>
    <t>Bronze Tableau affixed to base on ground</t>
  </si>
  <si>
    <t>https://archives.delaware.gov/delaware-historical-markers/john-dickinson/</t>
  </si>
  <si>
    <t>https://archives.delaware.gov/wp-content/uploads/sites/156/2019/06/ncca4-2-2.jpg</t>
  </si>
  <si>
    <t xml:space="preserve">NCC-A5 </t>
  </si>
  <si>
    <t>Van Dyke House</t>
  </si>
  <si>
    <t>7/12/2023 - CM-S 2/14/2024 - CM-S 10/30/2024 - CM-S
12/26/2024 - CM-S</t>
  </si>
  <si>
    <t>8/18/2023 - CM-S</t>
  </si>
  <si>
    <t>39.66016</t>
  </si>
  <si>
    <t>-75.56458</t>
  </si>
  <si>
    <t>300 Delaware St</t>
  </si>
  <si>
    <t>https://archives.delaware.gov/delaware-historical-markers/van-dyke-house/</t>
  </si>
  <si>
    <t>https://archives.delaware.gov/wp-content/uploads/sites/156/2019/06/ncc-a5-2.jpg</t>
  </si>
  <si>
    <t xml:space="preserve">NCC-A6 </t>
  </si>
  <si>
    <t>Historic Museum / Amstel House</t>
  </si>
  <si>
    <t>39.66051</t>
  </si>
  <si>
    <t>-75.56482</t>
  </si>
  <si>
    <t>2 East 4th Street, Historic New Castle</t>
  </si>
  <si>
    <t>Wall Plaque, Historical Markers Commission - now known as Amstell House</t>
  </si>
  <si>
    <t>https://archives.delaware.gov/delaware-historical-markers/historic-museum/</t>
  </si>
  <si>
    <t>https://archives.delaware.gov/wp-content/uploads/sites/156/2019/06/nc-a6-25.jpg</t>
  </si>
  <si>
    <t xml:space="preserve">NCC-A7 </t>
  </si>
  <si>
    <t>Battle of Cooch's Bridge</t>
  </si>
  <si>
    <t>39.63983</t>
  </si>
  <si>
    <t>-75.73675</t>
  </si>
  <si>
    <t>961 Old Baltimore Pike</t>
  </si>
  <si>
    <t xml:space="preserve">NCC-A8 </t>
  </si>
  <si>
    <t>Site of the Home of George Read</t>
  </si>
  <si>
    <t>1/9/2023 - CM-S 2/14/2024 - CM-S 10/30/2024 - CM-S</t>
  </si>
  <si>
    <t>39.65955</t>
  </si>
  <si>
    <t>-75.56157</t>
  </si>
  <si>
    <t>42 The Strand</t>
  </si>
  <si>
    <t>https://archives.delaware.gov/delaware-historical-markers/site-of-the-home-of-george-read/</t>
  </si>
  <si>
    <t>https://archives.delaware.gov/wp-content/uploads/sites/156/2019/06/ncc-a8-25.jpg</t>
  </si>
  <si>
    <t xml:space="preserve">NCC-A9 </t>
  </si>
  <si>
    <t>Gunning Bedford House</t>
  </si>
  <si>
    <t>2/14/2024 - CM-S 10/30/2024 - CM-S</t>
  </si>
  <si>
    <t>2/3/2025 - VLM</t>
  </si>
  <si>
    <t>39.65896</t>
  </si>
  <si>
    <t>-75.56246</t>
  </si>
  <si>
    <t>6 The Strand</t>
  </si>
  <si>
    <t>https://archives.delaware.gov/delaware-historical-markers/gunning-bedford-house/</t>
  </si>
  <si>
    <t>https://archives.delaware.gov/wp-content/uploads/sites/156/2019/06/nc-a9-25.jpg</t>
  </si>
  <si>
    <t xml:space="preserve">SC-001 </t>
  </si>
  <si>
    <t>Northwest Fork Hundred</t>
  </si>
  <si>
    <t>38.834584</t>
  </si>
  <si>
    <t>-75.582976</t>
  </si>
  <si>
    <t>11217 Sussex Highway</t>
  </si>
  <si>
    <t>across highway; on southbound side of Rt 13, just south of Kent / Sussex line.</t>
  </si>
  <si>
    <t xml:space="preserve">SC-002 </t>
  </si>
  <si>
    <t>38.71884</t>
  </si>
  <si>
    <t>-75.58948</t>
  </si>
  <si>
    <t>20467 Sussex Highway</t>
  </si>
  <si>
    <t>Bridgeville</t>
  </si>
  <si>
    <t xml:space="preserve">SC-003 </t>
  </si>
  <si>
    <t>Seaford Hundred</t>
  </si>
  <si>
    <t>38.69967</t>
  </si>
  <si>
    <t>-75.58967</t>
  </si>
  <si>
    <t>20494 Sussex Highway</t>
  </si>
  <si>
    <t xml:space="preserve">SC-004 </t>
  </si>
  <si>
    <t>Seaford</t>
  </si>
  <si>
    <t>38.64851</t>
  </si>
  <si>
    <t>-75.59440</t>
  </si>
  <si>
    <t>1602 Middleford Road</t>
  </si>
  <si>
    <t xml:space="preserve">SC-005 </t>
  </si>
  <si>
    <t>4/1/2022 CM-S      6/8/2023
CM-S</t>
  </si>
  <si>
    <t>4/16/2024 - VLM</t>
  </si>
  <si>
    <t>9109 Middleford Road</t>
  </si>
  <si>
    <t>https://archives.delaware.gov/delaware-historical-markers/seaford-5/</t>
  </si>
  <si>
    <t>https://archives.delaware.gov/wp-content/uploads/sites/156/2019/06/sc-005-24.jpg</t>
  </si>
  <si>
    <t xml:space="preserve">SC-006 </t>
  </si>
  <si>
    <t>4/1/2022 - CM-S 6/14/2024 - CM-S</t>
  </si>
  <si>
    <t>503 Old Bridgeville Highway</t>
  </si>
  <si>
    <t>https://archives.delaware.gov/delaware-historical-markers/seaford-hundred-6/</t>
  </si>
  <si>
    <t>https://archives.delaware.gov/wp-content/uploads/sites/156/2019/06/sc-06-25.jpg</t>
  </si>
  <si>
    <t xml:space="preserve">SC-007 </t>
  </si>
  <si>
    <t>Broad Creek Hundred</t>
  </si>
  <si>
    <t>38.64798</t>
  </si>
  <si>
    <t>-75.59431</t>
  </si>
  <si>
    <t>2140 Middleford Road</t>
  </si>
  <si>
    <t xml:space="preserve">SC-008 </t>
  </si>
  <si>
    <t>Laurel</t>
  </si>
  <si>
    <t>14823 Country Seat Highway</t>
  </si>
  <si>
    <t xml:space="preserve">SC-009 </t>
  </si>
  <si>
    <t>38.567438</t>
  </si>
  <si>
    <t>-75.560556</t>
  </si>
  <si>
    <t>30547 Sussex Highway</t>
  </si>
  <si>
    <t xml:space="preserve">SC-010 </t>
  </si>
  <si>
    <t>38.566072</t>
  </si>
  <si>
    <t>-75.559504</t>
  </si>
  <si>
    <t>30549 Sussex Highway</t>
  </si>
  <si>
    <t xml:space="preserve">SC-011 </t>
  </si>
  <si>
    <t>REPLACED WITH SC-084</t>
  </si>
  <si>
    <t>38.55091</t>
  </si>
  <si>
    <t>-75.56976</t>
  </si>
  <si>
    <t>939 South Central Avenue</t>
  </si>
  <si>
    <t xml:space="preserve">SC-012 </t>
  </si>
  <si>
    <t>7/19/2024 - CM-S
1/8/2025 - CM-S</t>
  </si>
  <si>
    <t>38.45838</t>
  </si>
  <si>
    <t>-75.57408</t>
  </si>
  <si>
    <t>201 North Bi State Blvd</t>
  </si>
  <si>
    <t>Delmar</t>
  </si>
  <si>
    <t>Replaced with tin sign by HCA in 1973</t>
  </si>
  <si>
    <t>https://archives.delaware.gov/delaware-historical-markers/little-creek-hundred-12/</t>
  </si>
  <si>
    <t>https://archives.delaware.gov/wp-content/uploads/sites/156/2019/06/sc-12-24.jpg</t>
  </si>
  <si>
    <t xml:space="preserve">SC-013 </t>
  </si>
  <si>
    <t>Cedar Creek Hundred</t>
  </si>
  <si>
    <t>38.911614</t>
  </si>
  <si>
    <t>-75.443994</t>
  </si>
  <si>
    <t>506 Kings Highway</t>
  </si>
  <si>
    <t>West (Southbound) Side of 113, south of Haven Lake / Mispillion River</t>
  </si>
  <si>
    <t xml:space="preserve">SC-014 </t>
  </si>
  <si>
    <t>Milford (13 &amp; 36)</t>
  </si>
  <si>
    <t>774 Dupont Blvd</t>
  </si>
  <si>
    <t>Upon recast of marker in 1967, Gov Rogers was dropped from marker for unknown reasons.</t>
  </si>
  <si>
    <t>1967, 2016</t>
  </si>
  <si>
    <t>https://archives.delaware.gov/delaware-historical-markers/milford-14/</t>
  </si>
  <si>
    <t>https://archives.delaware.gov/wp-content/uploads/sites/156/2019/06/sc-14-2.jpg</t>
  </si>
  <si>
    <t xml:space="preserve">SC-015 </t>
  </si>
  <si>
    <t xml:space="preserve">SC-016 </t>
  </si>
  <si>
    <t>Georgetown Hundred</t>
  </si>
  <si>
    <t>38.615258</t>
  </si>
  <si>
    <t>-75.332744</t>
  </si>
  <si>
    <t>West side of Rt 113, North of Mirey Branch (450 North of Woodlawn Memorial Park)</t>
  </si>
  <si>
    <t>Georgetown</t>
  </si>
  <si>
    <t xml:space="preserve">SC-017 </t>
  </si>
  <si>
    <t>38.69635</t>
  </si>
  <si>
    <t>-75.39994</t>
  </si>
  <si>
    <t>202 Berlin Road</t>
  </si>
  <si>
    <t xml:space="preserve">SC-018 </t>
  </si>
  <si>
    <t>38.68243</t>
  </si>
  <si>
    <t>-75.39644</t>
  </si>
  <si>
    <t>22168 Dupont Blvd</t>
  </si>
  <si>
    <t>Approx 300 feet north of intersection</t>
  </si>
  <si>
    <t xml:space="preserve">SC-019 </t>
  </si>
  <si>
    <t>38.63369</t>
  </si>
  <si>
    <t>-75.34959</t>
  </si>
  <si>
    <t>25189 Dupont Blvd</t>
  </si>
  <si>
    <t>Approx 140 ft south of Gov Stockley Blvd &amp; 113, East side</t>
  </si>
  <si>
    <t xml:space="preserve">SC-020 </t>
  </si>
  <si>
    <t>Dagsboro Hundred</t>
  </si>
  <si>
    <t>38.63336</t>
  </si>
  <si>
    <t>-75.34978</t>
  </si>
  <si>
    <t>Approx 140 ft south of Gov Stockley Blvd &amp; 113, West side</t>
  </si>
  <si>
    <t xml:space="preserve">SC-021 </t>
  </si>
  <si>
    <t>Dagsboro</t>
  </si>
  <si>
    <t>38.54323</t>
  </si>
  <si>
    <t>-75.25694</t>
  </si>
  <si>
    <t>32335 Dupont Blvd</t>
  </si>
  <si>
    <t xml:space="preserve">SC-022 </t>
  </si>
  <si>
    <t>38.51293</t>
  </si>
  <si>
    <t>-75.23795</t>
  </si>
  <si>
    <t>34407 Dupont Blvd</t>
  </si>
  <si>
    <t>Frankford</t>
  </si>
  <si>
    <t xml:space="preserve">SC-023 </t>
  </si>
  <si>
    <t>Baltimore Hundred</t>
  </si>
  <si>
    <t>4/8/2022 - CM-S 5/12/2023 - CM-S</t>
  </si>
  <si>
    <t>38.55656</t>
  </si>
  <si>
    <t>-75.20269</t>
  </si>
  <si>
    <t xml:space="preserve">30790 Vines Creek Road </t>
  </si>
  <si>
    <t>At some point this marker location was changed from U.S. Route No. 113, East side of highway at Maryland State line, 21.4 miles from Georgetown Square, 57.5 miles south of Dover Green.</t>
  </si>
  <si>
    <t>https://archives.delaware.gov/delaware-historical-markers/baltimore-hundred-23/</t>
  </si>
  <si>
    <t>https://archives.delaware.gov/wp-content/uploads/sites/156/2019/06/sc-23-24.jpg</t>
  </si>
  <si>
    <t xml:space="preserve">SC-024 </t>
  </si>
  <si>
    <t>38.45126</t>
  </si>
  <si>
    <t>-75.23253</t>
  </si>
  <si>
    <t>38581 Dupont Blvd</t>
  </si>
  <si>
    <t>Selbyville</t>
  </si>
  <si>
    <t>Location is just north of MD line at intersection of Mason Drive and 113.</t>
  </si>
  <si>
    <t xml:space="preserve">SC-025 </t>
  </si>
  <si>
    <t>38.92009</t>
  </si>
  <si>
    <t>-75.42064</t>
  </si>
  <si>
    <t>217 North Rehoboth Boulevard</t>
  </si>
  <si>
    <t xml:space="preserve">SC-026 </t>
  </si>
  <si>
    <t>Milford (Old Post Office)</t>
  </si>
  <si>
    <t>3/15/2022 - CM-S 
5/22/2024 - CM-S
12/26/2024 - CM-S</t>
  </si>
  <si>
    <t>1/29/2024- VLM</t>
  </si>
  <si>
    <t>38.91160</t>
  </si>
  <si>
    <t>139 South Walnut Street</t>
  </si>
  <si>
    <t>Milford Musuem</t>
  </si>
  <si>
    <t>https://archives.delaware.gov/delaware-historical-markers/milford-26/</t>
  </si>
  <si>
    <t>https://archives.delaware.gov/wp-content/uploads/sites/156/2019/06/sc-26-2.jpg</t>
  </si>
  <si>
    <t xml:space="preserve">SC-027 </t>
  </si>
  <si>
    <t>1/14/2022 - CM-S
4/16/2024 - CM-S
10/24/2025 - CM-S</t>
  </si>
  <si>
    <t>38.82519</t>
  </si>
  <si>
    <t>-75.30928</t>
  </si>
  <si>
    <t>11219 Coastal Highway</t>
  </si>
  <si>
    <t>Milton</t>
  </si>
  <si>
    <t>East Side of Rt 1 at Waples Pond (Northbound)</t>
  </si>
  <si>
    <t>https://archives.delaware.gov/delaware-historical-markers/cedar-creek-hundred-27/</t>
  </si>
  <si>
    <t>https://archives.delaware.gov/wp-content/uploads/sites/156/2019/06/sc-207-25.jpg</t>
  </si>
  <si>
    <t xml:space="preserve">SC-028 </t>
  </si>
  <si>
    <t>Broadkiln Hundred</t>
  </si>
  <si>
    <t>38.82145</t>
  </si>
  <si>
    <t>-75.30712</t>
  </si>
  <si>
    <t>Southbound side of Coastal Highway and Route 5</t>
  </si>
  <si>
    <t xml:space="preserve">SC-029 </t>
  </si>
  <si>
    <t>4/8/2022 - CM-S 5/9/2023 - CM-S
1/11/2025 - CM-S</t>
  </si>
  <si>
    <t>38.76054</t>
  </si>
  <si>
    <t>-75.20313</t>
  </si>
  <si>
    <t>16503 Coastal Highway</t>
  </si>
  <si>
    <t>Lewes</t>
  </si>
  <si>
    <t>1968, 2017</t>
  </si>
  <si>
    <t>https://archives.delaware.gov/delaware-historical-markers/broadkiln-hundred-29/</t>
  </si>
  <si>
    <t>https://archives.delaware.gov/wp-content/uploads/sites/156/2025/02/sc-29-25.jpg</t>
  </si>
  <si>
    <t xml:space="preserve">SC-030 </t>
  </si>
  <si>
    <t>Lewes &amp; Rehoboth Hundred</t>
  </si>
  <si>
    <t>38.75961</t>
  </si>
  <si>
    <t>-75.20228</t>
  </si>
  <si>
    <t>1111 Coastal Highway</t>
  </si>
  <si>
    <t xml:space="preserve">SC-031 </t>
  </si>
  <si>
    <t>Lewes (Hoorn Kil)</t>
  </si>
  <si>
    <t>4/11/2022 - CM-S 2/15/2024 - CM-S
4/9/2024 - CM-S
9/3/2024 - CM-S
1/11/2025 - CM-S</t>
  </si>
  <si>
    <t>4/10/2024 - VLM</t>
  </si>
  <si>
    <t>38.77596</t>
  </si>
  <si>
    <t>109 West Market Street</t>
  </si>
  <si>
    <t>Mary Vessels Park</t>
  </si>
  <si>
    <t>Recast to aluminum. Marker replaced / reinstalled 4/11/2022</t>
  </si>
  <si>
    <t>1990, 2022</t>
  </si>
  <si>
    <t>https://archives.delaware.gov/delaware-historical-markers/lewes-31/</t>
  </si>
  <si>
    <t>https://archives.delaware.gov/wp-content/uploads/sites/156/2019/06/sc-31-25.jpg</t>
  </si>
  <si>
    <t xml:space="preserve">SC-032 </t>
  </si>
  <si>
    <t>3/16/2022 - CM-S
1/11/2025 - CM-S</t>
  </si>
  <si>
    <t>1141 Savannah Road</t>
  </si>
  <si>
    <t>https://archives.delaware.gov/delaware-historical-markers/lewes-32/</t>
  </si>
  <si>
    <t>https://archives.delaware.gov/wp-content/uploads/sites/156/2025/12/sc-32-25.jpg</t>
  </si>
  <si>
    <t xml:space="preserve">SC-033 </t>
  </si>
  <si>
    <t>Lewes (Shields Elem)</t>
  </si>
  <si>
    <t>3/16/2022 - CM-S</t>
  </si>
  <si>
    <t>889 Savannah Road</t>
  </si>
  <si>
    <t>In front of Shields Elementary Damaged at Kent Signs, Sent to DelDot 11/2021 for Destruction. Replaced on 2/8/2025.</t>
  </si>
  <si>
    <t xml:space="preserve">SC-034 </t>
  </si>
  <si>
    <t>Lewes (Zwaanendael)</t>
  </si>
  <si>
    <t>3/16/2022 - CM-S
7/13/2023 - CM-S
2/14/2024 - CM-S
4/9/2024 - CM-S
9/3/2024 - CM-S
1/3/2025 - CM-S</t>
  </si>
  <si>
    <t>38.77412</t>
  </si>
  <si>
    <t>302 Savannah Road</t>
  </si>
  <si>
    <t>https://archives.delaware.gov/delaware-historical-markers/lewes-34/</t>
  </si>
  <si>
    <t>https://archives.delaware.gov/wp-content/uploads/sites/156/2019/06/sc-34-25.jpg</t>
  </si>
  <si>
    <t xml:space="preserve">SC-035 </t>
  </si>
  <si>
    <t>Replaced with SC-167</t>
  </si>
  <si>
    <t>Lewes Creek Bridge</t>
  </si>
  <si>
    <t>Damaged marker at Kent Signs, taken to DelDot for Destruction. Replaced in 2003 with SC-167. SC-035 was retitled, renumbered and expanded.</t>
  </si>
  <si>
    <t xml:space="preserve">SC-036 </t>
  </si>
  <si>
    <t>4/5/2022 - CM-S 8/17/2023 - CM-S 7/19/2024 - CM-S</t>
  </si>
  <si>
    <t xml:space="preserve">Good </t>
  </si>
  <si>
    <t>38.69721</t>
  </si>
  <si>
    <t>-75.37472</t>
  </si>
  <si>
    <t>705 East Market Street</t>
  </si>
  <si>
    <t>https://archives.delaware.gov/delaware-historical-markers/georgetown-36/</t>
  </si>
  <si>
    <t>https://archives.delaware.gov/wp-content/uploads/sites/156/2019/06/sc-36-24.jpg</t>
  </si>
  <si>
    <t xml:space="preserve">SC-037 </t>
  </si>
  <si>
    <t>38.72097</t>
  </si>
  <si>
    <t>-75.30039</t>
  </si>
  <si>
    <t>25141 Lewes Georgetown Highway</t>
  </si>
  <si>
    <t xml:space="preserve">SC-038 </t>
  </si>
  <si>
    <t>38.720667</t>
  </si>
  <si>
    <t>-75.300137</t>
  </si>
  <si>
    <t>25895 Fawn Lane</t>
  </si>
  <si>
    <t xml:space="preserve">SC-039 </t>
  </si>
  <si>
    <t>38.73430</t>
  </si>
  <si>
    <t>-75.23884</t>
  </si>
  <si>
    <t>184 Lewes Georgetown Highway</t>
  </si>
  <si>
    <t xml:space="preserve">SC-040 </t>
  </si>
  <si>
    <t>38.73398</t>
  </si>
  <si>
    <t>-75.23918</t>
  </si>
  <si>
    <t>171 Lewes Georgetown Highway</t>
  </si>
  <si>
    <t xml:space="preserve">SC-041 </t>
  </si>
  <si>
    <t>38.65750</t>
  </si>
  <si>
    <t>-75.42414</t>
  </si>
  <si>
    <t>18643 County Seat Highway</t>
  </si>
  <si>
    <t>Approx 350 southwest of address, on south side of highway (at small rivulet)</t>
  </si>
  <si>
    <t xml:space="preserve">SC-042 </t>
  </si>
  <si>
    <t>Nanticoke Hundred</t>
  </si>
  <si>
    <t>38.65764</t>
  </si>
  <si>
    <t>-75.42431</t>
  </si>
  <si>
    <t>Approx 350 southwest of address, on north side of highway (at small rivulet)</t>
  </si>
  <si>
    <t xml:space="preserve">SC-043 </t>
  </si>
  <si>
    <t>38.62027</t>
  </si>
  <si>
    <t>-75.48439</t>
  </si>
  <si>
    <t>14838 County Seat Highway</t>
  </si>
  <si>
    <t>South side of County Seat Highway, North of Concord Road</t>
  </si>
  <si>
    <t xml:space="preserve">SC-044 </t>
  </si>
  <si>
    <t>38.62031</t>
  </si>
  <si>
    <t>-75.48501</t>
  </si>
  <si>
    <t>14812 County Seat Highway</t>
  </si>
  <si>
    <t>At intersection - North of County Seat Highway and South of Concord Road</t>
  </si>
  <si>
    <t xml:space="preserve">SC-045 </t>
  </si>
  <si>
    <t>38.62051</t>
  </si>
  <si>
    <t>-75.48467</t>
  </si>
  <si>
    <t>14967 County Seat Highway</t>
  </si>
  <si>
    <t>At intersection - North of County Seat Highway and North of Concord Road</t>
  </si>
  <si>
    <t xml:space="preserve">SC-046 </t>
  </si>
  <si>
    <t>38.69814</t>
  </si>
  <si>
    <t>-75.40024</t>
  </si>
  <si>
    <t>20601 Dupont Blvd</t>
  </si>
  <si>
    <t xml:space="preserve">SC-047 </t>
  </si>
  <si>
    <t>38.69820</t>
  </si>
  <si>
    <t>-75.43106</t>
  </si>
  <si>
    <t>18282 Seashore Highway</t>
  </si>
  <si>
    <t>Constituent dropped marker off at DPA on 5/14/19. Had been stored in relative's barn. Approx 500 feet west of address - south of highway at intersection of Rt 404 and Rd 522</t>
  </si>
  <si>
    <t xml:space="preserve">SC-048 </t>
  </si>
  <si>
    <t>38.69841</t>
  </si>
  <si>
    <t>-75.43105</t>
  </si>
  <si>
    <t>18251 Seashore Highway</t>
  </si>
  <si>
    <t>Approx 430 ft west of address.  At intersection of Rt 404 and Rd 522; east of Rd 522</t>
  </si>
  <si>
    <t xml:space="preserve">SC-049 </t>
  </si>
  <si>
    <t>38.70812</t>
  </si>
  <si>
    <t>-75.55802</t>
  </si>
  <si>
    <t>10456 Seashore Highway</t>
  </si>
  <si>
    <t>Approx 340 feet west of driveway of address, east of stream, southside of Highway</t>
  </si>
  <si>
    <t xml:space="preserve">SC-050 </t>
  </si>
  <si>
    <t>3/15/2022 - CM-S 7/1/2024 - CM-S
1/8/2025 - CM-S</t>
  </si>
  <si>
    <t>38.70768</t>
  </si>
  <si>
    <t>10514 Seashore Highway</t>
  </si>
  <si>
    <t>https://archives.delaware.gov/delaware-historical-markers/seaford-hundred-50/</t>
  </si>
  <si>
    <t>https://archives.delaware.gov/wp-content/uploads/sites/156/2019/06/sc-50-24.jpg</t>
  </si>
  <si>
    <t xml:space="preserve">SC-051 </t>
  </si>
  <si>
    <t>38.712347</t>
  </si>
  <si>
    <t>-75.569324</t>
  </si>
  <si>
    <t>10033 Seashore Highway</t>
  </si>
  <si>
    <t xml:space="preserve">SC-052 </t>
  </si>
  <si>
    <t>38.59648</t>
  </si>
  <si>
    <t>-75.29102</t>
  </si>
  <si>
    <t>30007 John J. Williams Highway</t>
  </si>
  <si>
    <t>Millsboro</t>
  </si>
  <si>
    <t xml:space="preserve">SC-053 </t>
  </si>
  <si>
    <t>Indian River Hundred</t>
  </si>
  <si>
    <t>4/3/2022 - CM-S
5/21/2024 - CM-S</t>
  </si>
  <si>
    <t>38.59506</t>
  </si>
  <si>
    <t>26414 Jersey Road</t>
  </si>
  <si>
    <t>https://archives.delaware.gov/delaware-historical-markers/indian-river-hundred-53/</t>
  </si>
  <si>
    <t>https://archives.delaware.gov/wp-content/uploads/sites/156/2019/06/sc-53-24.jpg</t>
  </si>
  <si>
    <t xml:space="preserve">SC-054 </t>
  </si>
  <si>
    <t>38.702211</t>
  </si>
  <si>
    <t>-75.163911</t>
  </si>
  <si>
    <t>33660 Aquila Lane</t>
  </si>
  <si>
    <t xml:space="preserve">SC-055 </t>
  </si>
  <si>
    <t>38.704058</t>
  </si>
  <si>
    <t>-75.160643</t>
  </si>
  <si>
    <t>20425 John J. Williams Highway</t>
  </si>
  <si>
    <t xml:space="preserve">SC-056 </t>
  </si>
  <si>
    <t>38.521230</t>
  </si>
  <si>
    <t>-75.356260</t>
  </si>
  <si>
    <t>34153 Millsboro Highway</t>
  </si>
  <si>
    <t xml:space="preserve">SC-057 </t>
  </si>
  <si>
    <t>Gumboro Hundred</t>
  </si>
  <si>
    <t>3/7/2022 - CM-S 12/19/2023 - CM-S 11/7/2024 - CM-S
1/8/2025 - CM-S</t>
  </si>
  <si>
    <t>12/19/2023 - VLM</t>
  </si>
  <si>
    <t>38.52120</t>
  </si>
  <si>
    <t>-75.35647</t>
  </si>
  <si>
    <t>34216 Millsboro Highway (Marker is approx 400 ft north of intersection with RD 413.  Marker sits on west side of Millsboro Highway)</t>
  </si>
  <si>
    <t>Interested constituent: Rusty Baker borntoride75@gmail.com 302-448-5209</t>
  </si>
  <si>
    <t>Jill Davis, lives close, 302-841-3941, jebdavis9900@hughes.net</t>
  </si>
  <si>
    <t xml:space="preserve">https://archives.delaware.gov/delaware-historical-markers/gumboro-hundred-57/ </t>
  </si>
  <si>
    <t xml:space="preserve">https://archives.delaware.gov/wp-content/uploads/sites/156/2019/06/sc_057-2.jpg </t>
  </si>
  <si>
    <t xml:space="preserve">SC-058 </t>
  </si>
  <si>
    <t>38.452215</t>
  </si>
  <si>
    <t>-75.393648</t>
  </si>
  <si>
    <t>20631 Road 414</t>
  </si>
  <si>
    <t>Approx 1800 feet south of address (going down Rt 54 toward Maryland)</t>
  </si>
  <si>
    <t xml:space="preserve">SC-059 </t>
  </si>
  <si>
    <t>5/30/2023 - CM-S</t>
  </si>
  <si>
    <t>38.54780</t>
  </si>
  <si>
    <t>-75.24429</t>
  </si>
  <si>
    <t>33094 Main Street</t>
  </si>
  <si>
    <t xml:space="preserve">Original install is 1932, replaced 2008. When the marker was replaced in 2008, the text was updated from the original. Refurbished/installed 2022 </t>
  </si>
  <si>
    <t>2008, 2022</t>
  </si>
  <si>
    <t>https://archives.delaware.gov/delaware-historical-markers/dagsboro-sc59/</t>
  </si>
  <si>
    <t xml:space="preserve">https://archives.delaware.gov/wp-content/uploads/sites/156/2019/06/sc-59.jpg </t>
  </si>
  <si>
    <t xml:space="preserve">SC-060 </t>
  </si>
  <si>
    <t>38.54735</t>
  </si>
  <si>
    <t>-75.23677</t>
  </si>
  <si>
    <t>29618 Road 382</t>
  </si>
  <si>
    <t xml:space="preserve">SC-061 </t>
  </si>
  <si>
    <t>38.55717</t>
  </si>
  <si>
    <t>-75.20075</t>
  </si>
  <si>
    <t>Intersection of Falling Point Rd &amp; Vine Creek Road, North side of Falling Point Road</t>
  </si>
  <si>
    <t xml:space="preserve">SC-062 </t>
  </si>
  <si>
    <t>38.55675</t>
  </si>
  <si>
    <t>-75.20067</t>
  </si>
  <si>
    <t xml:space="preserve">SC-063 </t>
  </si>
  <si>
    <t>Old Christ Church (Broadcreek)</t>
  </si>
  <si>
    <t>3/29/2022 - CM-S 7/21/2023 - CM-S 12/19/2023 - CM-S</t>
  </si>
  <si>
    <t>1/3/2024 - VLM</t>
  </si>
  <si>
    <t>38.56089</t>
  </si>
  <si>
    <t>-75.53724</t>
  </si>
  <si>
    <t>12226 Chipmans Pond Road</t>
  </si>
  <si>
    <t>https://archives.delaware.gov/delaware-historical-markers/old-christ-church-63/</t>
  </si>
  <si>
    <t>https://archives.delaware.gov/wp-content/uploads/sites/156/2019/06/sc-63-2.jpg</t>
  </si>
  <si>
    <t xml:space="preserve">SC-064 </t>
  </si>
  <si>
    <t>Bethel Church (Brown's Chapel, Seaford)</t>
  </si>
  <si>
    <t>4/1/2022 - CM-S
10/3/2023 - CM-S</t>
  </si>
  <si>
    <t>2371 Neals School Road</t>
  </si>
  <si>
    <t>https://archives.delaware.gov/delaware-historical-markers/bethel-church-64/</t>
  </si>
  <si>
    <t>https://archives.delaware.gov/wp-content/uploads/sites/156/2025/10/sc-64-25.jpg</t>
  </si>
  <si>
    <t xml:space="preserve">SC-065 </t>
  </si>
  <si>
    <t>Cannon's Ferry</t>
  </si>
  <si>
    <t>Replaced with SC-227</t>
  </si>
  <si>
    <t>Road  79 and Road  78, north of Bethel, Woodland.</t>
  </si>
  <si>
    <t>Replaced with SC-227 The Tina Fallon in 2012</t>
  </si>
  <si>
    <t xml:space="preserve">SC-066 </t>
  </si>
  <si>
    <t>Pilot Town</t>
  </si>
  <si>
    <t>4/1/2022 - CM-S 10/3/2023 - CM-S 6/14/2024 - CM-S</t>
  </si>
  <si>
    <t>38.64116</t>
  </si>
  <si>
    <t>South side of Henry Drive and Church Road intersection</t>
  </si>
  <si>
    <t>Replaced 1971, 1981, 1990 - Shrub growing up against marker in 2022.</t>
  </si>
  <si>
    <t>1981, 1990</t>
  </si>
  <si>
    <t>https://archives.delaware.gov/wp-content/uploads/sites/156/2019/06/sc-143-25.jpg</t>
  </si>
  <si>
    <t>https://archives.delaware.gov/wp-content/uploads/sites/156/2019/06/sc-66-25.jpg</t>
  </si>
  <si>
    <t xml:space="preserve">SC-067 </t>
  </si>
  <si>
    <t>Governor John Collins</t>
  </si>
  <si>
    <t>4/20/2022 - CM-S
10/9/2023 - CM-S
1/8/2025 - CM-S</t>
  </si>
  <si>
    <t>38.70820</t>
  </si>
  <si>
    <t>-75.52052</t>
  </si>
  <si>
    <t>12685 Seashore Highway</t>
  </si>
  <si>
    <t>See note on Website Marker form</t>
  </si>
  <si>
    <t>https://archives.delaware.gov/delaware-historical-markers/governor-john-collins/</t>
  </si>
  <si>
    <t>https://archives.delaware.gov/wp-content/uploads/sites/156/2019/06/sc-67-24.jpg</t>
  </si>
  <si>
    <t xml:space="preserve">SC-068 </t>
  </si>
  <si>
    <t>Nathaniel Mitchell (1752-1813)</t>
  </si>
  <si>
    <t>3/29/2022 - CM-S 7/21/2023 - CM-S</t>
  </si>
  <si>
    <t>38.56091</t>
  </si>
  <si>
    <t>-75.53716</t>
  </si>
  <si>
    <t>https://archives.delaware.gov/delaware-historical-markers/nathaniel-mitchell-1752-1813/</t>
  </si>
  <si>
    <t>https://archives.delaware.gov/wp-content/uploads/sites/156/2019/06/sc-68.jpg</t>
  </si>
  <si>
    <t xml:space="preserve">SC-069 </t>
  </si>
  <si>
    <t>Highball Signal</t>
  </si>
  <si>
    <t>3/7/2022 - CM-S
1/8/2025 - CM-S</t>
  </si>
  <si>
    <t>10 North Pennsylvania Avenue</t>
  </si>
  <si>
    <t>Flagged for replacement</t>
  </si>
  <si>
    <t>https://archives.delaware.gov/delaware-historical-markers/highball-signal/</t>
  </si>
  <si>
    <t>https://archives.delaware.gov/wp-content/uploads/sites/156/2019/06/sc-69-25.jpg</t>
  </si>
  <si>
    <t xml:space="preserve">SC-070 </t>
  </si>
  <si>
    <t>Cannon-Maston House</t>
  </si>
  <si>
    <t>4/1/2022 - CM-S 12/19/2023 - CM-S</t>
  </si>
  <si>
    <t>21745 Atlanta Road</t>
  </si>
  <si>
    <t>2007, 2021</t>
  </si>
  <si>
    <t>https://archives.delaware.gov/delaware-historical-markers/cannon-maston-house/</t>
  </si>
  <si>
    <t>https://archives.delaware.gov/wp-content/uploads/sites/156/2019/06/sc-70-24.jpg</t>
  </si>
  <si>
    <t xml:space="preserve">SC-071 </t>
  </si>
  <si>
    <t>Sudler House Attawattacoquin</t>
  </si>
  <si>
    <t>3/15/2022 - CM-S 8/24/2023 - CM-S</t>
  </si>
  <si>
    <t>1976 - Division of Historical &amp; Cultural Affairs / 2014 - Delaware Public Archives Historic Markers Program</t>
  </si>
  <si>
    <t>-75.59987</t>
  </si>
  <si>
    <t>127 North Main Street</t>
  </si>
  <si>
    <t>Replaced with updated text in May 2014</t>
  </si>
  <si>
    <t>https://archives.delaware.gov/delaware-historical-markers/sudler-house/</t>
  </si>
  <si>
    <t>https://archives.delaware.gov/wp-content/uploads/sites/156/2019/06/sc-71-24.jpg</t>
  </si>
  <si>
    <t xml:space="preserve">SC-072 </t>
  </si>
  <si>
    <t>George Alfred Townsend Birthplace</t>
  </si>
  <si>
    <t>4/5/2022 - CM-S 8/17/2023 - CM-S 7/19/2024 - CM-S 11/1/2024-CM-S
12/18/2024 - CM-S</t>
  </si>
  <si>
    <t>38.68944</t>
  </si>
  <si>
    <t>-75.38654</t>
  </si>
  <si>
    <t>18 The Circle</t>
  </si>
  <si>
    <t>Replaced 11/2001</t>
  </si>
  <si>
    <t>https://archives.delaware.gov/delaware-historical-markers/george-alfred-townsend-birthplace/</t>
  </si>
  <si>
    <t>https://archives.delaware.gov/wp-content/uploads/sites/156/2019/06/sc-72-25.jpg</t>
  </si>
  <si>
    <t xml:space="preserve">SC-073 </t>
  </si>
  <si>
    <t>Shipwreck of "The Faithful Steward"</t>
  </si>
  <si>
    <t>4/8/2022 - CM-S
1/11/2025 - CM-S</t>
  </si>
  <si>
    <t>38.62785</t>
  </si>
  <si>
    <t>-75.06769</t>
  </si>
  <si>
    <t>Savages Ditch Road</t>
  </si>
  <si>
    <t>Rehoboth Beach</t>
  </si>
  <si>
    <t>Replaced in 2017</t>
  </si>
  <si>
    <t>https://archives.delaware.gov/wp-content/uploads/sites/156/2019/06/sc-073-1.jpg</t>
  </si>
  <si>
    <t xml:space="preserve">SC-074 </t>
  </si>
  <si>
    <t>Transpeninsular Line</t>
  </si>
  <si>
    <t>4/8/2022 - CM-S 5/31/2023 - CM-S</t>
  </si>
  <si>
    <t>38.45121</t>
  </si>
  <si>
    <t>-75.05491</t>
  </si>
  <si>
    <t>39046 Gray's Lane</t>
  </si>
  <si>
    <t>Fenwick Island</t>
  </si>
  <si>
    <t>https://archives.delaware.gov/delaware-historical-markers/transpeninsular-line/</t>
  </si>
  <si>
    <t>https://archives.delaware.gov/wp-content/uploads/sites/156/2019/06/sc-074-2.jpg</t>
  </si>
  <si>
    <t xml:space="preserve">SC-075 </t>
  </si>
  <si>
    <t>Delaware Breakwater Quarantine Station 1884-1926</t>
  </si>
  <si>
    <t>38.78611667</t>
  </si>
  <si>
    <t>-75.10143333</t>
  </si>
  <si>
    <t>14884 Bay Road</t>
  </si>
  <si>
    <t xml:space="preserve">SC-076 </t>
  </si>
  <si>
    <t>Delaware Technical &amp; Community College</t>
  </si>
  <si>
    <t>11/11/2021 - CM-S
7/19/2024 - CM-S</t>
  </si>
  <si>
    <t>21179 College Drive</t>
  </si>
  <si>
    <t>https://archives.delaware.gov/delaware-historical-markers/delaware-technical-community-college/</t>
  </si>
  <si>
    <t>https://archives.delaware.gov/wp-content/uploads/sites/156/2019/06/sc-76-25.jpg</t>
  </si>
  <si>
    <t xml:space="preserve">SC-077 </t>
  </si>
  <si>
    <t>Governor Ross Mansion</t>
  </si>
  <si>
    <t>23669 Ross Station Road</t>
  </si>
  <si>
    <t>Repair/reins. 7/2013</t>
  </si>
  <si>
    <t>https://archives.delaware.gov/delaware-historical-markers/governor-ross-mansion/</t>
  </si>
  <si>
    <t>https://archives.delaware.gov/wp-content/uploads/sites/156/2019/06/SC_077-2.jpg</t>
  </si>
  <si>
    <t xml:space="preserve">SC-078 </t>
  </si>
  <si>
    <t>Ocean View, Delaware: Birthplace of the Commercial Boiler Industry</t>
  </si>
  <si>
    <t>6/8/2023 - CM-S
10/11/2024 - CM-S
1/3/2025 - CM-S</t>
  </si>
  <si>
    <t>10/9/2023-VLM</t>
  </si>
  <si>
    <t>38.54797</t>
  </si>
  <si>
    <t>-75.08881</t>
  </si>
  <si>
    <t>39 Central Avenue</t>
  </si>
  <si>
    <t>Ocean View</t>
  </si>
  <si>
    <t>https://archives.delaware.gov/delaware-historical-markers/ocean-view-delaware-birthplace-commercial-broiler-industry/</t>
  </si>
  <si>
    <t>https://archives.delaware.gov/wp-content/uploads/sites/156/2019/06/sc-78-2.jpg</t>
  </si>
  <si>
    <t xml:space="preserve">SC-079 </t>
  </si>
  <si>
    <t>Bethel Shipyard</t>
  </si>
  <si>
    <t>3/29/2022 - CM-S 7/7/2023 - CM-S 7/19/2024 - CM-S
1/8/2025 - CM-S</t>
  </si>
  <si>
    <t>38.56972</t>
  </si>
  <si>
    <t>-75.61940</t>
  </si>
  <si>
    <t>Main Avenue (near Broad Creek Bridge)</t>
  </si>
  <si>
    <t>Bethel</t>
  </si>
  <si>
    <t>https://archives.delaware.gov/delaware-historical-markers/bethel-shipyard/</t>
  </si>
  <si>
    <t>https://archives.delaware.gov/wp-content/uploads/sites/156/2019/06/sc-79-25.jpg</t>
  </si>
  <si>
    <t xml:space="preserve">SC-080 </t>
  </si>
  <si>
    <t>William C. Jason Comprehensive High School</t>
  </si>
  <si>
    <t>Rt. 404 in front of Del Tech Campus (21225 College Dr.)</t>
  </si>
  <si>
    <t>Repainted, possibly in 2016</t>
  </si>
  <si>
    <t>https://archives.delaware.gov/delaware-historical-markers/william-c-jason-comprehensive-high-school/</t>
  </si>
  <si>
    <t>https://archives.delaware.gov/wp-content/uploads/sites/156/2019/06/sc-80-2023-3.jpg</t>
  </si>
  <si>
    <t xml:space="preserve">SC-081 </t>
  </si>
  <si>
    <t>Absalom Jones, 1746-1818</t>
  </si>
  <si>
    <t>5/11/2023 - CM-S 5/22/2024 - CM-S</t>
  </si>
  <si>
    <t>38.91428</t>
  </si>
  <si>
    <t>-75.40387</t>
  </si>
  <si>
    <t>South Side of Route 36, approximately 1/8 mile west of the intersection of Route 36 and Route 1, Milford, DE</t>
  </si>
  <si>
    <t>Repair/reins. 10/2016</t>
  </si>
  <si>
    <t>https://archives.delaware.gov/delaware-historical-markers/absalom-jones/</t>
  </si>
  <si>
    <t>https://archives.delaware.gov/wp-content/uploads/sites/156/2019/06/sc-81.jpg</t>
  </si>
  <si>
    <t xml:space="preserve">SC-082 </t>
  </si>
  <si>
    <t>11/26/2021 - CM-S 3/20/2024 - CM-S</t>
  </si>
  <si>
    <t>38.78782</t>
  </si>
  <si>
    <t>-75.31561</t>
  </si>
  <si>
    <t>661 Federal Street</t>
  </si>
  <si>
    <t>Marker location flipped with SC-83 approx 2006-2011. Needs to be sent for refurbishment - 7/2024 - CM-S. One side good, one side bad.</t>
  </si>
  <si>
    <t>https://archives.delaware.gov/delaware-historical-markers/milton-8/</t>
  </si>
  <si>
    <t>https://archives.delaware.gov/wp-content/uploads/sites/156/2019/06/sc-82-24.jpg</t>
  </si>
  <si>
    <t xml:space="preserve">SC-083 </t>
  </si>
  <si>
    <t>3/14/2022 - CM-S
4/15/2024 - CM-S
1/11/2025 - CM-S</t>
  </si>
  <si>
    <t>38.78779</t>
  </si>
  <si>
    <t>-75.31560</t>
  </si>
  <si>
    <t>616 Union Street</t>
  </si>
  <si>
    <t>Marker location flipped with SC-82 approx 2006-2011.</t>
  </si>
  <si>
    <t>https://archives.delaware.gov/delaware-historical-markers/milton-83/</t>
  </si>
  <si>
    <t>https://archives.delaware.gov/wp-content/uploads/sites/156/2019/06/sc-83-3.jpg</t>
  </si>
  <si>
    <t xml:space="preserve">SC-084 </t>
  </si>
  <si>
    <t>3/29/2022 - CM-S 7/1/2024 - CM-S</t>
  </si>
  <si>
    <t>939 S. Central Avenue</t>
  </si>
  <si>
    <t>Replaced SC-011 - Reinstalled 8/16/2021</t>
  </si>
  <si>
    <t>1990, 2021</t>
  </si>
  <si>
    <t>https://archives.delaware.gov/delaware-historical-markers/laurel/</t>
  </si>
  <si>
    <t>https://archives.delaware.gov/wp-content/uploads/sites/156/2019/06/sc-84.jpg</t>
  </si>
  <si>
    <t xml:space="preserve">SC-085 </t>
  </si>
  <si>
    <t>Return Day</t>
  </si>
  <si>
    <t>4/5/2022 - CM-S  7/19/2024 - CM-S 11/1/2024-CM-S
12/18/2024 - CM-S</t>
  </si>
  <si>
    <t>10/30/2024 - VLM</t>
  </si>
  <si>
    <t>https://archives.delaware.gov/delaware-historical-markers/return-day/</t>
  </si>
  <si>
    <t>https://archives.delaware.gov/wp-content/uploads/sites/156/2019/06/sc-85-25.jpg</t>
  </si>
  <si>
    <t xml:space="preserve">SC-086 </t>
  </si>
  <si>
    <t>Pettijohns Old Field</t>
  </si>
  <si>
    <t>8/17/2022 - CM-S 8/17/2023 - CM-S 12/20/2023 - CM-S 7/19/2024 - CM-S 11/1/2024-CM-S</t>
  </si>
  <si>
    <t>38.69058</t>
  </si>
  <si>
    <t>-75.38586</t>
  </si>
  <si>
    <t>39 The Circle</t>
  </si>
  <si>
    <t>https://archives.delaware.gov/delaware-historical-markers/pettijohns-old-field/</t>
  </si>
  <si>
    <t>https://archives.delaware.gov/wp-content/uploads/sites/156/2019/06/sc-86.jpg</t>
  </si>
  <si>
    <t xml:space="preserve">SC-087 </t>
  </si>
  <si>
    <t>Sussex County Courthouse</t>
  </si>
  <si>
    <t>4/5/2022 - CM-S 8/17/2023 - CM-S 7/19/2024 - CM-S 11/1/2024-CM-S</t>
  </si>
  <si>
    <t>38.69007</t>
  </si>
  <si>
    <t>-75.38522</t>
  </si>
  <si>
    <t>2 The Circle</t>
  </si>
  <si>
    <t>https://archives.delaware.gov/delaware-historical-markers/sussex-county-courthouse/</t>
  </si>
  <si>
    <t>https://archives.delaware.gov/wp-content/uploads/sites/156/2019/06/sc-87-25.jpg</t>
  </si>
  <si>
    <t xml:space="preserve">SC-088 </t>
  </si>
  <si>
    <t>Relocation of County Seat</t>
  </si>
  <si>
    <t>4/5/2022 - CM-S 12/16/2022 - CM-S 8/17/2023 - CM-S 12/20/2023 - CM-S 7/19/2024 - CM-S 11/1/2024-CM-S</t>
  </si>
  <si>
    <t>38.69013</t>
  </si>
  <si>
    <t>-75.38644</t>
  </si>
  <si>
    <t>28 The Circle</t>
  </si>
  <si>
    <t>https://archives.delaware.gov/delaware-historical-markers/relocation-of-county-seat/</t>
  </si>
  <si>
    <t>https://archives.delaware.gov/wp-content/uploads/sites/156/2025/12/sc-88-25.jpg</t>
  </si>
  <si>
    <t xml:space="preserve">SC-089 </t>
  </si>
  <si>
    <t>Fort Saulsbury</t>
  </si>
  <si>
    <t>3/30/2022 - CM-S 5/22/2024 - CM-S</t>
  </si>
  <si>
    <t>-75.33654</t>
  </si>
  <si>
    <t>22988 Cedar Beach Road</t>
  </si>
  <si>
    <t>https://archives.delaware.gov/delaware-historical-markers/fort-saulsbury/</t>
  </si>
  <si>
    <t>https://archives.delaware.gov/wp-content/uploads/sites/156/2019/06/sc-089.jpg</t>
  </si>
  <si>
    <t xml:space="preserve">SC-090 </t>
  </si>
  <si>
    <t>City of Rehoboth Beach</t>
  </si>
  <si>
    <t>11/14/2022 - CM-S
1/11/2025 - CM-S</t>
  </si>
  <si>
    <t xml:space="preserve">Rep. John R. Schroeder
</t>
  </si>
  <si>
    <t>38.71665</t>
  </si>
  <si>
    <t>-75.07617</t>
  </si>
  <si>
    <t>1 Rehoboth Avenue</t>
  </si>
  <si>
    <t>Rehoboth</t>
  </si>
  <si>
    <t>Margaret Carson, EA, City of Rehoboth Office mcarson@cityofrehoboth.com 302-227-4641</t>
  </si>
  <si>
    <t>See notes in Digital File - Marker replaced 2022 after being lost when sent for refurbishment. 2022 Marker damaged in coastal storm - sent for refurbishment and reinstalled July 2024.</t>
  </si>
  <si>
    <t>2022, 2024</t>
  </si>
  <si>
    <t>https://archives.delaware.gov/delaware-historical-markers/city-of-rehoboth-beach/</t>
  </si>
  <si>
    <t>https://archives.delaware.gov/wp-content/uploads/sites/156/2019/06/sc-90-25.jpg</t>
  </si>
  <si>
    <t xml:space="preserve">SC-091 </t>
  </si>
  <si>
    <t>Old Courthouse</t>
  </si>
  <si>
    <t>38.68945</t>
  </si>
  <si>
    <t>-75.38521</t>
  </si>
  <si>
    <t>10 South Bedford Street</t>
  </si>
  <si>
    <t>https://archives.delaware.gov/delaware-historical-markers/old-courthouse/</t>
  </si>
  <si>
    <t>https://archives.delaware.gov/wp-content/uploads/sites/156/2019/06/sc-91-2.jpg</t>
  </si>
  <si>
    <t xml:space="preserve">SC-092 </t>
  </si>
  <si>
    <t>Old Sound Methodist Church</t>
  </si>
  <si>
    <t xml:space="preserve">4/8/2022 - CM-S 10/13/2023 - CM-S </t>
  </si>
  <si>
    <t>38.47569</t>
  </si>
  <si>
    <t>-75.13759</t>
  </si>
  <si>
    <t>35141 Johnson Store Road</t>
  </si>
  <si>
    <t>https://archives.delaware.gov/delaware-historical-markers/old-sound-methodist-church/</t>
  </si>
  <si>
    <t>https://archives.delaware.gov/wp-content/uploads/sites/156/2019/06/sc-92-2.jpg</t>
  </si>
  <si>
    <t xml:space="preserve">SC-093 </t>
  </si>
  <si>
    <t>Antioch Camp Meeting</t>
  </si>
  <si>
    <t>38.53151</t>
  </si>
  <si>
    <t>-75.23555</t>
  </si>
  <si>
    <t>194 Clayton Avenue</t>
  </si>
  <si>
    <t>https://archives.delaware.gov/delaware-historical-markers/antioch-camp-meeting/</t>
  </si>
  <si>
    <t>https://archives.delaware.gov/wp-content/uploads/sites/156/2019/06/sc_093.jpg</t>
  </si>
  <si>
    <t xml:space="preserve">SC-094 </t>
  </si>
  <si>
    <t>Forty &amp; Eight Boxcar</t>
  </si>
  <si>
    <t>4/2/2022 - CM-S 6/13/2023 - CM-S 2/5/2024 - CM-S</t>
  </si>
  <si>
    <t>230 North Front Street</t>
  </si>
  <si>
    <t>https://archives.delaware.gov/delaware-historical-markers/forty-eight-boxcar/</t>
  </si>
  <si>
    <t>https://archives.delaware.gov/wp-content/uploads/sites/156/2019/06/sc-94-2.jpg</t>
  </si>
  <si>
    <t xml:space="preserve">SC-095 </t>
  </si>
  <si>
    <t>Academy / Masonic Hall</t>
  </si>
  <si>
    <t>4/5/2022 - CM-S
8/17/2023 - CM-S
 7/19/2024 - CM-S
1/3/2028</t>
  </si>
  <si>
    <t>Delaware State Archives, 1997</t>
  </si>
  <si>
    <t>38.69203</t>
  </si>
  <si>
    <t>-75.38357</t>
  </si>
  <si>
    <t>151 East Market Street</t>
  </si>
  <si>
    <t>Website finalization form claims it was installed in 1997.</t>
  </si>
  <si>
    <t>https://archives.delaware.gov/delaware-historical-markers/academy-masonic-hall/</t>
  </si>
  <si>
    <t>https://archives.delaware.gov/wp-content/uploads/sites/156/2019/06/sc-95-24.jpg</t>
  </si>
  <si>
    <t xml:space="preserve">SC-096 </t>
  </si>
  <si>
    <t>General Alfred T.A. Torbert</t>
  </si>
  <si>
    <t>4/5/2022 - CM-S 8/17/2023 - CM-S
11/1/2024 - CM-S</t>
  </si>
  <si>
    <t>Delaware State Archives, 1993 &amp; Markers Program 2024</t>
  </si>
  <si>
    <t>38.68773</t>
  </si>
  <si>
    <t>-75.38649</t>
  </si>
  <si>
    <t>109 West Pine Street</t>
  </si>
  <si>
    <t>Marker sent for refurb 2024.</t>
  </si>
  <si>
    <t>https://archives.delaware.gov/delaware-historical-markers/general-alfred-t-a-torbert/</t>
  </si>
  <si>
    <t>https://archives.delaware.gov/wp-content/uploads/sites/156/2019/06/sc-96-24.jpg</t>
  </si>
  <si>
    <t xml:space="preserve">SC-097 </t>
  </si>
  <si>
    <t>Bethel Church (Millsboro)</t>
  </si>
  <si>
    <t>5/12/2023 - CM-S
1/8/2025 - CM-S</t>
  </si>
  <si>
    <t>Delaware State Archives 1993 &amp; 2013</t>
  </si>
  <si>
    <t>22365 Bethel Road</t>
  </si>
  <si>
    <t>Repair/reins. 8/7/2013</t>
  </si>
  <si>
    <t xml:space="preserve">https://archives.delaware.gov/delaware-historical-markers/bethel-church-97/ </t>
  </si>
  <si>
    <t>https://archives.delaware.gov/wp-content/uploads/sites/156/2019/06/sc-97-25.jpg</t>
  </si>
  <si>
    <t xml:space="preserve">SC-098 </t>
  </si>
  <si>
    <t>Carey's Camp</t>
  </si>
  <si>
    <t>3/7/2022 - CM-S 10/13/2023 - CM-S
1/8/2025 - CM-S</t>
  </si>
  <si>
    <t>Delaware State Archives, 1994 &amp; State of Delaware Historical Markers Program, 2013</t>
  </si>
  <si>
    <t>38.55838</t>
  </si>
  <si>
    <t>-75.36707</t>
  </si>
  <si>
    <t>22053 Careys Camp Road</t>
  </si>
  <si>
    <t>https://archives.delaware.gov/delaware-historical-markers/careys-camp/</t>
  </si>
  <si>
    <t>https://archives.delaware.gov/wp-content/uploads/sites/156/2025/10/sc-98-25.jpg</t>
  </si>
  <si>
    <t xml:space="preserve">SC-099 </t>
  </si>
  <si>
    <t>Zoar United Methodist Church</t>
  </si>
  <si>
    <t>11/11/2021 - CM-S 5/12/2023 - CM-S 11/7/2024 - CM-S</t>
  </si>
  <si>
    <t>6/6/2023 - CM-S</t>
  </si>
  <si>
    <t>38.64699</t>
  </si>
  <si>
    <t>-75.29706</t>
  </si>
  <si>
    <t>24463 Gravel Hill Rd</t>
  </si>
  <si>
    <t xml:space="preserve">Sent to DelDot 11/2021 for Destruction. Replaced. </t>
  </si>
  <si>
    <t>https://archives.delaware.gov/delaware-historical-markers/zoar-united-methodist-church/</t>
  </si>
  <si>
    <t>https://archives.delaware.gov/wp-content/uploads/sites/156/2019/06/sc-099-2.jpg</t>
  </si>
  <si>
    <t xml:space="preserve">SC-100 </t>
  </si>
  <si>
    <t>Blades United Methodist Church</t>
  </si>
  <si>
    <t>2/21/2022 - CM-S 2/5/2024 - CM-S</t>
  </si>
  <si>
    <t>Sen. Robert L. (Bob) Venables</t>
  </si>
  <si>
    <t>38.63396</t>
  </si>
  <si>
    <t>-75.60952</t>
  </si>
  <si>
    <t>306 S. Market Street</t>
  </si>
  <si>
    <t>https://archives.delaware.gov/delaware-historical-markers/blades-united-methodist-church/</t>
  </si>
  <si>
    <t>https://archives.delaware.gov/wp-content/uploads/sites/156/2019/06/sc-100-25.jpg</t>
  </si>
  <si>
    <t xml:space="preserve">SC-101 </t>
  </si>
  <si>
    <t>St. Paul's Protestant Episcopal Church</t>
  </si>
  <si>
    <t>4/5/2022 - CM-S
11/1/2024 - CM-S</t>
  </si>
  <si>
    <t>38.69061</t>
  </si>
  <si>
    <t>-75.38298</t>
  </si>
  <si>
    <t>122 East Pine Street</t>
  </si>
  <si>
    <t>https://archives.delaware.gov/delaware-historical-markers/st-pauls-protestant-episcopal-church/</t>
  </si>
  <si>
    <t>https://archives.delaware.gov/wp-content/uploads/sites/156/2019/06/sc-101-25.jpg</t>
  </si>
  <si>
    <t xml:space="preserve">SC-102 </t>
  </si>
  <si>
    <t>Dickerson Chapel A.M.E. Church</t>
  </si>
  <si>
    <t>4/1/2022 - CM-S 11/7/2024 - CM-S</t>
  </si>
  <si>
    <t>8/24/2023 - CM-S</t>
  </si>
  <si>
    <t>28845 East Dupont Blvd</t>
  </si>
  <si>
    <t>https://archives.delaware.gov/delaware-historical-markers/dickerson-chapel-ame-church/</t>
  </si>
  <si>
    <t>https://archives.delaware.gov/wp-content/uploads/sites/156/2019/06/SC-102-2.jpg</t>
  </si>
  <si>
    <t xml:space="preserve">SC-103 </t>
  </si>
  <si>
    <t>Town of Delmar</t>
  </si>
  <si>
    <t>3/7/2022 - CM-S 5/12/2023 - CM-S
1/8/2025 - CM-S</t>
  </si>
  <si>
    <t>State of Delaware Historical Markers Program, 1995</t>
  </si>
  <si>
    <t>419 East State Street</t>
  </si>
  <si>
    <t>https://archives.delaware.gov/delaware-historical-markers/town-of-delmar/</t>
  </si>
  <si>
    <t>https://archives.delaware.gov/wp-content/uploads/sites/156/2019/06/sc-103.jpg</t>
  </si>
  <si>
    <t xml:space="preserve">SC-104 </t>
  </si>
  <si>
    <t>Line United Methodist Church</t>
  </si>
  <si>
    <t>3/7/2022 - CM-S
9/29/2024 - CM-S
11/7/2024 - CM-S
1/8/2025 - CM-S</t>
  </si>
  <si>
    <t>38.45270</t>
  </si>
  <si>
    <t>-75.41748</t>
  </si>
  <si>
    <t xml:space="preserve">18725 Line Church Road  </t>
  </si>
  <si>
    <t>https://archives.delaware.gov/delaware-historical-markers/line-united-methodist-church/</t>
  </si>
  <si>
    <t>https://archives.delaware.gov/wp-content/uploads/sites/156/2019/06/sc-104-25.jpg</t>
  </si>
  <si>
    <t xml:space="preserve">SC-105 </t>
  </si>
  <si>
    <t>Bethany United Methodist Church (Lowes Crossroads)</t>
  </si>
  <si>
    <t>3/7/2022 - CM-S 10/13/2023 - CM-S</t>
  </si>
  <si>
    <t>Rep. Charles P. West</t>
  </si>
  <si>
    <t>38.52253</t>
  </si>
  <si>
    <t>-75.40477</t>
  </si>
  <si>
    <t xml:space="preserve">19845 Lowes Crossing Road </t>
  </si>
  <si>
    <t>Sent to DelDot 11/2021 for Destruction</t>
  </si>
  <si>
    <t>https://archives.delaware.gov/delaware-historical-markers/bethany-united-methodist-church-lowes-crossroads/</t>
  </si>
  <si>
    <t>https://archives.delaware.gov/wp-content/uploads/sites/156/2019/06/sc-105-24.jpg</t>
  </si>
  <si>
    <t xml:space="preserve">SC-106 </t>
  </si>
  <si>
    <t>Gumboro United Methodist Church</t>
  </si>
  <si>
    <t>36633 Main Street</t>
  </si>
  <si>
    <t>Gumboro</t>
  </si>
  <si>
    <t>https://archives.delaware.gov/delaware-historical-markers/gumboro-united-methodist-church/</t>
  </si>
  <si>
    <t>https://archives.delaware.gov/wp-content/uploads/sites/156/2022/04/sc_106.jpg</t>
  </si>
  <si>
    <t xml:space="preserve">SC-107 </t>
  </si>
  <si>
    <t>Prospect A.M.E. Church (Georgetown)</t>
  </si>
  <si>
    <t>4/5/2022 - CM-S 8/17/2023 - CM-S</t>
  </si>
  <si>
    <t>38.69101</t>
  </si>
  <si>
    <t>-75.38033</t>
  </si>
  <si>
    <t>220 South Railroad Avenue</t>
  </si>
  <si>
    <t>https://archives.delaware.gov/delaware-historical-markers/prospect-ame-church/</t>
  </si>
  <si>
    <t>https://archives.delaware.gov/wp-content/uploads/sites/156/2025/09/sc-107-25.jpg</t>
  </si>
  <si>
    <t xml:space="preserve">SC-108 </t>
  </si>
  <si>
    <t>St. John‘s Methodist Church (Georgetown)</t>
  </si>
  <si>
    <t>11/17/2021 - CM-S 11/7/2024 - CM-S</t>
  </si>
  <si>
    <t>38.68177</t>
  </si>
  <si>
    <t>-75.30752</t>
  </si>
  <si>
    <t>22179 Gravel Hill Road</t>
  </si>
  <si>
    <t>Original 1996 marker ordered from Sewah. Replaced with bronze pole in 2000.</t>
  </si>
  <si>
    <t>https://archives.delaware.gov/delaware-historical-markers/st-johns-methodist-church/</t>
  </si>
  <si>
    <t>https://archives.delaware.gov/wp-content/uploads/sites/156/2025/11/sc-108-25.jpg</t>
  </si>
  <si>
    <t xml:space="preserve">SC-109 </t>
  </si>
  <si>
    <t>St. George's United Methodist Church</t>
  </si>
  <si>
    <t>4/8/2022 - CM-S 5/31/2024 - CM-S</t>
  </si>
  <si>
    <t>38.54970</t>
  </si>
  <si>
    <t>-75.14792</t>
  </si>
  <si>
    <t>34337 Omar Road</t>
  </si>
  <si>
    <t>https://archives.delaware.gov/delaware-historical-markers/st-georges-united-methodist-church/</t>
  </si>
  <si>
    <t>https://archives.delaware.gov/wp-content/uploads/sites/156/2019/06/sc-109-25.jpg</t>
  </si>
  <si>
    <t xml:space="preserve">SC-110 </t>
  </si>
  <si>
    <t>Concord United Methodist Church</t>
  </si>
  <si>
    <t>4/1/2022 - CM-S 7/21/2023 - CM-S 6/14/2024 - CM-S</t>
  </si>
  <si>
    <t>6/17/2025 - RG/VLM</t>
  </si>
  <si>
    <t>25332 Church Road</t>
  </si>
  <si>
    <t>https://archives.delaware.gov/delaware-historical-markers/concord-united-methodist-church/</t>
  </si>
  <si>
    <t>https://archives.delaware.gov/wp-content/uploads/sites/156/2019/06/sc-110-25.jpg</t>
  </si>
  <si>
    <t xml:space="preserve">SC-111 </t>
  </si>
  <si>
    <t>The Judges</t>
  </si>
  <si>
    <t>38.68911</t>
  </si>
  <si>
    <t>-75.38718</t>
  </si>
  <si>
    <t>122 West Market Street</t>
  </si>
  <si>
    <t>https://archives.delaware.gov/delaware-historical-markers/the-judges/</t>
  </si>
  <si>
    <t>https://archives.delaware.gov/wp-content/uploads/sites/156/2019/06/sc-111.jpg</t>
  </si>
  <si>
    <t xml:space="preserve">SC-112 </t>
  </si>
  <si>
    <t>Bethesda United Methodist Church (Georgetown)</t>
  </si>
  <si>
    <t>4/1/2022 - CM-S
5/21/2024 - CM-S</t>
  </si>
  <si>
    <t>25073 Bethesda Road</t>
  </si>
  <si>
    <t>https://archives.delaware.gov/delaware-historical-markers/bethesda-united-methodist-church/</t>
  </si>
  <si>
    <t>https://archives.delaware.gov/wp-content/uploads/sites/156/2019/06/sc-112-25.jpg</t>
  </si>
  <si>
    <t xml:space="preserve">SC-113 </t>
  </si>
  <si>
    <t>Hickory Hill Methodist Church</t>
  </si>
  <si>
    <t>3/7/2022 - CM-S 5/12/2023 - CM-S</t>
  </si>
  <si>
    <t>38.54098</t>
  </si>
  <si>
    <t>-75.30462</t>
  </si>
  <si>
    <t>32433 Molly Field Road</t>
  </si>
  <si>
    <t>https://archives.delaware.gov/delaware-historical-markers/hickory-hill-methodist-church/</t>
  </si>
  <si>
    <t>https://archives.delaware.gov/wp-content/uploads/sites/156/2024/04/sc-113-2.jpg</t>
  </si>
  <si>
    <t xml:space="preserve">SC-114 </t>
  </si>
  <si>
    <t>Nanticoke Post #6</t>
  </si>
  <si>
    <t>4/1/2022 - CM-S 6/13/2023 - CM-S 2/5/2024 - CM-S</t>
  </si>
  <si>
    <t>Sen. Robert L. (Bob) Venables/ Rep. Tina Fallon</t>
  </si>
  <si>
    <t>Southwell</t>
  </si>
  <si>
    <t>https://archives.delaware.gov/delaware-historical-markers/nanticoke-post-6/</t>
  </si>
  <si>
    <t>https://archives.delaware.gov/wp-content/uploads/sites/156/2019/06/sc-114-2.jpg</t>
  </si>
  <si>
    <t xml:space="preserve">SC-115 </t>
  </si>
  <si>
    <t>Slaughter Neck United Methodist Church</t>
  </si>
  <si>
    <t>3/7/2022 - CM-S 11/6/2023 - CM-S
6/4/2024 - CM-S</t>
  </si>
  <si>
    <t>Rep. V. George Carey</t>
  </si>
  <si>
    <t>23221 Argos Corner Road</t>
  </si>
  <si>
    <t>https://archives.delaware.gov/delaware-historical-markers/slaughter-neck-united-methodist-church/</t>
  </si>
  <si>
    <t>https://archives.delaware.gov/wp-content/uploads/sites/156/2019/06/sc-115-2.jpg</t>
  </si>
  <si>
    <t xml:space="preserve">SC-116 </t>
  </si>
  <si>
    <t>Queen Anne's Railroad</t>
  </si>
  <si>
    <t>5/31/2023 - CM-S 7/19/2024 - CM-S</t>
  </si>
  <si>
    <t>Rep. V. George Carey, 1997 / State of Delaware Historical Markers Program, 2023</t>
  </si>
  <si>
    <t>38.76988</t>
  </si>
  <si>
    <t>-75.31314</t>
  </si>
  <si>
    <t>684 Chestnut Street</t>
  </si>
  <si>
    <t>Damaged at Kent Signs, Sent to DelDot 11/2021 for Destruction. New marker received and installed 5/31/2023.</t>
  </si>
  <si>
    <t>1997, 2023</t>
  </si>
  <si>
    <t>https://archives.delaware.gov/delaware-historical-markers/queen-annes-railroad/</t>
  </si>
  <si>
    <t>https://archives.delaware.gov/wp-content/uploads/sites/156/2019/06/sc-117-25.jpg</t>
  </si>
  <si>
    <t xml:space="preserve">SC-117 </t>
  </si>
  <si>
    <t>Wesley United Methodist Church (Georgetown)</t>
  </si>
  <si>
    <t>38.69148</t>
  </si>
  <si>
    <t>-75.38560</t>
  </si>
  <si>
    <t>102 East Laurel Street</t>
  </si>
  <si>
    <t xml:space="preserve">SC-118 </t>
  </si>
  <si>
    <t>Prince George‘s Chapel</t>
  </si>
  <si>
    <t>38.54824</t>
  </si>
  <si>
    <t>-75.23952</t>
  </si>
  <si>
    <t>32040 Ward Lane</t>
  </si>
  <si>
    <t>https://archives.delaware.gov/delaware-historical-markers/prince-georges-chapel/</t>
  </si>
  <si>
    <t>https://archives.delaware.gov/wp-content/uploads/sites/156/2019/06/sc-118-24.jpg</t>
  </si>
  <si>
    <t xml:space="preserve">SC-119 </t>
  </si>
  <si>
    <t>Union Wesley United Methodist Church &amp; Campground</t>
  </si>
  <si>
    <t>4/8/2022 - CM-S 6/8/2023 - CM-S</t>
  </si>
  <si>
    <t>Rep. Shirley Price</t>
  </si>
  <si>
    <t>38.54513</t>
  </si>
  <si>
    <t>-75.14724</t>
  </si>
  <si>
    <t xml:space="preserve">32137 Powell Farm Road </t>
  </si>
  <si>
    <t xml:space="preserve">SC-120 </t>
  </si>
  <si>
    <t>St. Paul‘s United Methodist Church (Laurel)</t>
  </si>
  <si>
    <t>3/29/2022 - CM-S
1/8/2025 - CM-S</t>
  </si>
  <si>
    <t>Rep. Clifford G. "Biff" Lee</t>
  </si>
  <si>
    <t>38.52685</t>
  </si>
  <si>
    <t>-75.54989</t>
  </si>
  <si>
    <t>32827 Old Stage Road</t>
  </si>
  <si>
    <t>https://archives.delaware.gov/delaware-historical-markers/st-pauls-united-methodist-church/</t>
  </si>
  <si>
    <t>https://archives.delaware.gov/wp-content/uploads/sites/156/2019/06/sc120.jpg</t>
  </si>
  <si>
    <t xml:space="preserve">SC-121 </t>
  </si>
  <si>
    <t>Westwoods Methodist Church</t>
  </si>
  <si>
    <t>3/7/2022 - CM-S
4/15/2024 - CM-S</t>
  </si>
  <si>
    <t>21999 Westwoods Road</t>
  </si>
  <si>
    <t>https://archives.delaware.gov/delaware-historical-markers/westwoods-methodist-church/</t>
  </si>
  <si>
    <t>https://archives.delaware.gov/wp-content/uploads/sites/156/2019/06/sc-121-25.jpg</t>
  </si>
  <si>
    <t xml:space="preserve">SC-122 </t>
  </si>
  <si>
    <t>Indian Mission United Methodist Church</t>
  </si>
  <si>
    <t>4/1/2022 - CM-S 8/21/2023 - CM-S</t>
  </si>
  <si>
    <t>Sen. George H. Bunting, Jr.</t>
  </si>
  <si>
    <t>22701 Indian Mission Road</t>
  </si>
  <si>
    <t>Harbeson</t>
  </si>
  <si>
    <t>Originally installed in 1998 - replaced in 2002 with changes to names of Trustees.</t>
  </si>
  <si>
    <t>https://archives.delaware.gov/delaware-historical-markers/indian-mission-methodist-church/</t>
  </si>
  <si>
    <t>https://archives.delaware.gov/wp-content/uploads/sites/156/2019/06/sc-122-24.jpg</t>
  </si>
  <si>
    <t xml:space="preserve">SC-123 </t>
  </si>
  <si>
    <t>Asbury United Methodist Church (Seaford)</t>
  </si>
  <si>
    <t>3/29/2022 - CM-S 2/5/2024 - CM-S</t>
  </si>
  <si>
    <t>38.62728</t>
  </si>
  <si>
    <t>-75.47291</t>
  </si>
  <si>
    <t>26161 Asbury Road</t>
  </si>
  <si>
    <t>https://archives.delaware.gov/delaware-historical-markers/asbury-united-methodist-church/</t>
  </si>
  <si>
    <t>https://archives.delaware.gov/wp-content/uploads/sites/156/2025/12/sc-123-25.jpg</t>
  </si>
  <si>
    <t xml:space="preserve">SC-124 </t>
  </si>
  <si>
    <t>Mariner's Bethel United Methodist Church</t>
  </si>
  <si>
    <t>7/10/2024 - VLM</t>
  </si>
  <si>
    <t>38.54407</t>
  </si>
  <si>
    <t>-75.09128</t>
  </si>
  <si>
    <t>81 Central Avenue</t>
  </si>
  <si>
    <t xml:space="preserve">SC-125 </t>
  </si>
  <si>
    <t>Abbott's Mill</t>
  </si>
  <si>
    <t>4/5/2022 - CM-S 7/11/2023 - CM-S</t>
  </si>
  <si>
    <t>38.88599</t>
  </si>
  <si>
    <t>-75.47631</t>
  </si>
  <si>
    <t>15411 Abbotts Pond Road</t>
  </si>
  <si>
    <t>https://archives.delaware.gov/delaware-historical-markers/abbotts-mill/</t>
  </si>
  <si>
    <t>https://archives.delaware.gov/wp-content/uploads/sites/156/2023/07/sc-125-2.jpg</t>
  </si>
  <si>
    <t xml:space="preserve">SC-126 </t>
  </si>
  <si>
    <t>Mount Olivet United Methodist Church (Seaford)</t>
  </si>
  <si>
    <t>4/1/2022 - CM-S
6/16/2023 - CM-S
4/15/2024 - CM-S</t>
  </si>
  <si>
    <t>-75.61155</t>
  </si>
  <si>
    <t>315 High Street</t>
  </si>
  <si>
    <t>https://archives.delaware.gov/delaware-historical-markers/mount-olivet-united-methodist-church-seaford/</t>
  </si>
  <si>
    <t>https://archives.delaware.gov/wp-content/uploads/sites/156/2019/06/sc-126-25.jpg</t>
  </si>
  <si>
    <t xml:space="preserve">SC-127 </t>
  </si>
  <si>
    <t>Goshen Cemetery (Milton)</t>
  </si>
  <si>
    <t>3/30/2022 - CM-S
4/16/2024 - CM-S</t>
  </si>
  <si>
    <t>3/22/22 - CRA</t>
  </si>
  <si>
    <t>207 Chestnut Street</t>
  </si>
  <si>
    <t xml:space="preserve">SC-128 </t>
  </si>
  <si>
    <t>Salem United Methodist Church (Selbyville)</t>
  </si>
  <si>
    <t>38.45947</t>
  </si>
  <si>
    <t>-75.22318</t>
  </si>
  <si>
    <t>29 Church Street</t>
  </si>
  <si>
    <t>https://archives.delaware.gov/delaware-historical-markers/salem-united-methodist-church-2/</t>
  </si>
  <si>
    <t>https://archives.delaware.gov/wp-content/uploads/sites/156/2019/06/sc-128-24.jpg</t>
  </si>
  <si>
    <t xml:space="preserve">SC-129 </t>
  </si>
  <si>
    <t>Godwin's School District #190</t>
  </si>
  <si>
    <t>23235 Godwin School Road</t>
  </si>
  <si>
    <t>https://archives.delaware.gov/delaware-historical-markers/godwins-school-district-190/</t>
  </si>
  <si>
    <t>https://archives.delaware.gov/wp-content/uploads/sites/156/2024/02/sc-129-3.jpg</t>
  </si>
  <si>
    <t xml:space="preserve">SC-130 </t>
  </si>
  <si>
    <t>Providence Methodist Church (Georgetown)</t>
  </si>
  <si>
    <t>24937 Shortly Road</t>
  </si>
  <si>
    <t>https://archives.delaware.gov/delaware-historical-markers/providence-methodist-church/</t>
  </si>
  <si>
    <t>https://archives.delaware.gov/wp-content/uploads/sites/156/2019/06/sc-130-25.jpg</t>
  </si>
  <si>
    <t xml:space="preserve">SC-131 </t>
  </si>
  <si>
    <t>Site of Jacobs School #143</t>
  </si>
  <si>
    <t>10/10/2023 - CM-S</t>
  </si>
  <si>
    <t>10/10/2023-VLM</t>
  </si>
  <si>
    <t>Northern corner of Tatman Farm Road &amp; Seashore Highway</t>
  </si>
  <si>
    <t>Marker was replaced with SC-132 in 2006 with same text on both markers. Missing in 2021. Replaced 7/18/2022 w/ SC-131 identifier</t>
  </si>
  <si>
    <t>2000, 2022</t>
  </si>
  <si>
    <t>https://archives.delaware.gov/delaware-historical-markers/jacobs-school-143/</t>
  </si>
  <si>
    <t>https://archives.delaware.gov/wp-content/uploads/sites/156/2023/10/sc-131-3.jpg</t>
  </si>
  <si>
    <t xml:space="preserve">SC-132 </t>
  </si>
  <si>
    <t>St. George's Chapel</t>
  </si>
  <si>
    <t>4/1/2022 - CM-S
8/17/2023 - CM-S
 12/26/2023 - CM-S</t>
  </si>
  <si>
    <t>10/28/2024 - VLM</t>
  </si>
  <si>
    <t>Rep. John H. Schroeder</t>
  </si>
  <si>
    <t>20274 Beaver Dam Road</t>
  </si>
  <si>
    <t>Saint George's Chapel</t>
  </si>
  <si>
    <t xml:space="preserve"> info@allsaintsandstgeorges.org 302-227-7202</t>
  </si>
  <si>
    <t>https://archives.delaware.gov/delaware-historical-markers/st-georges-chapel/</t>
  </si>
  <si>
    <t>https://archives.delaware.gov/wp-content/uploads/sites/156/2019/06/sc-132-24.jpg</t>
  </si>
  <si>
    <t xml:space="preserve">SC-133 </t>
  </si>
  <si>
    <t>Georgetown Presbyterian Church</t>
  </si>
  <si>
    <t>4/5/2022 - CM-S 8/17/2023 - CM-S
10/3/2023 - CM-S</t>
  </si>
  <si>
    <t>38.69229</t>
  </si>
  <si>
    <t>-75.38833</t>
  </si>
  <si>
    <t>203 North Bedford Street</t>
  </si>
  <si>
    <t>https://archives.delaware.gov/delaware-historical-markers/georgetown-presbyterian-church/</t>
  </si>
  <si>
    <t>https://archives.delaware.gov/wp-content/uploads/sites/156/2025/11/sc-133-25.jpg</t>
  </si>
  <si>
    <t xml:space="preserve">SC-134 </t>
  </si>
  <si>
    <t>King's United Methodist Church (Laurel)</t>
  </si>
  <si>
    <t>4/15/2022 - CM-S
1/8/2025 - CM-S</t>
  </si>
  <si>
    <t>38.50804</t>
  </si>
  <si>
    <t>-75.51574</t>
  </si>
  <si>
    <t>34516 Gordy Road</t>
  </si>
  <si>
    <t xml:space="preserve">SC-135 </t>
  </si>
  <si>
    <t>St. George's Methodist Church (Delmar)</t>
  </si>
  <si>
    <t>4/15/2022 - CM-S 7/19/2024 - CM-S
1/8/2025 - CM-S</t>
  </si>
  <si>
    <t>38.49783</t>
  </si>
  <si>
    <t>-75.58590</t>
  </si>
  <si>
    <t>34894 St George Road</t>
  </si>
  <si>
    <t>Marker file is missing - CM-S - 2/13/2025</t>
  </si>
  <si>
    <t xml:space="preserve">SC-136 </t>
  </si>
  <si>
    <t>Grace United Methodist Church (Millsboro)</t>
  </si>
  <si>
    <t>4/1/2022 - CM-S 8/21/2023 - CM-S
5/21/2024 - CM-S 11/7/2024 - CM-S</t>
  </si>
  <si>
    <t>300 East Church Street</t>
  </si>
  <si>
    <t>https://archives.delaware.gov/delaware-historical-markers/grace-united-methodist-church-136/</t>
  </si>
  <si>
    <t>https://archives.delaware.gov/wp-content/uploads/sites/156/2025/11/sc-136-25.jpg</t>
  </si>
  <si>
    <t xml:space="preserve">SC-137 </t>
  </si>
  <si>
    <t>Frankford United Methodist Church</t>
  </si>
  <si>
    <t>38.51759</t>
  </si>
  <si>
    <t>-75.23533</t>
  </si>
  <si>
    <t>12 Clayton Avenue</t>
  </si>
  <si>
    <t>https://archives.delaware.gov/delaware-historical-markers/frankford-united-methodist-church/</t>
  </si>
  <si>
    <t>https://archives.delaware.gov/wp-content/uploads/sites/156/2019/06/sc-137-24.jpg</t>
  </si>
  <si>
    <t xml:space="preserve">SC-138 </t>
  </si>
  <si>
    <t>Maull House</t>
  </si>
  <si>
    <t>3/16/2022 - CM-S 2/15/2024 - CM-S
9/3/2024 - CM-S
1/11/2025 - CM-S</t>
  </si>
  <si>
    <t>38.78149</t>
  </si>
  <si>
    <t>538 Pilot Town Road</t>
  </si>
  <si>
    <t>https://archives.delaware.gov/delaware-historical-markers/maull-house/</t>
  </si>
  <si>
    <t>https://archives.delaware.gov/wp-content/uploads/sites/156/2019/06/sc-138-2.jpg</t>
  </si>
  <si>
    <t xml:space="preserve">SC-139 </t>
  </si>
  <si>
    <t>The Brick Hotel</t>
  </si>
  <si>
    <t>4/5/2022 - CM-S 8/17/2023 - CM-S 12/26/2023 - CM-S 7/19/2024 - CM-S 11/1/2024-CM-S</t>
  </si>
  <si>
    <t>38.68969</t>
  </si>
  <si>
    <t>-75.38609</t>
  </si>
  <si>
    <t>mounted to wall</t>
  </si>
  <si>
    <t>https://archives.delaware.gov/delaware-historical-markers/the-brick-hotel/</t>
  </si>
  <si>
    <t>https://archives.delaware.gov/wp-content/uploads/sites/156/2019/06/sc-139-24.jpg</t>
  </si>
  <si>
    <t xml:space="preserve">SC-140 </t>
  </si>
  <si>
    <t>UNASSIGNED</t>
  </si>
  <si>
    <t xml:space="preserve">SC-141 </t>
  </si>
  <si>
    <t>Jones Cemetery</t>
  </si>
  <si>
    <t>3/7/2022 - CM-S</t>
  </si>
  <si>
    <t>38.49889</t>
  </si>
  <si>
    <t>-75.39281</t>
  </si>
  <si>
    <t>21025 Lowes Crossing Road</t>
  </si>
  <si>
    <t>https://archives.delaware.gov/delaware-historical-markers/jones-cemetery/</t>
  </si>
  <si>
    <t>https://archives.delaware.gov/wp-content/uploads/sites/156/2019/06/sc-141-24.jpg</t>
  </si>
  <si>
    <t xml:space="preserve">SC-142 </t>
  </si>
  <si>
    <t>Grace United Methodist Church (Georgetown)</t>
  </si>
  <si>
    <t>10/3/2024 - VLM</t>
  </si>
  <si>
    <t>38.69324</t>
  </si>
  <si>
    <t>-75.38175</t>
  </si>
  <si>
    <t>7 South King Street</t>
  </si>
  <si>
    <t>https://archives.delaware.gov/delaware-historical-markers/grace-united-methodist-church-142/</t>
  </si>
  <si>
    <t>https://archives.delaware.gov/wp-content/uploads/sites/156/2019/06/sc-142-24.jpg</t>
  </si>
  <si>
    <t xml:space="preserve">SC-143 </t>
  </si>
  <si>
    <t>Shipbuilding on the Broadkill</t>
  </si>
  <si>
    <t>2/17/2022 - CM-S
7/15/2024 CM-S</t>
  </si>
  <si>
    <t>38.77877</t>
  </si>
  <si>
    <t>-75.31030</t>
  </si>
  <si>
    <t>113 Union Street</t>
  </si>
  <si>
    <t>Milton Memorial Park</t>
  </si>
  <si>
    <t>https://archives.delaware.gov/delaware-historical-markers/shipbuilding-on-the-broadkill/</t>
  </si>
  <si>
    <t xml:space="preserve">SC-144 </t>
  </si>
  <si>
    <t>Ships and Men</t>
  </si>
  <si>
    <t>38.77876</t>
  </si>
  <si>
    <t>-75.31036</t>
  </si>
  <si>
    <t>https://archives.delaware.gov/delaware-historical-markers/ships-and-men/</t>
  </si>
  <si>
    <t>https://archives.delaware.gov/wp-content/uploads/sites/156/2019/06/sc-144-25.jpg</t>
  </si>
  <si>
    <t xml:space="preserve">SC-145 </t>
  </si>
  <si>
    <t>Christ United Methodist Church (Laurel)</t>
  </si>
  <si>
    <t xml:space="preserve"> 8/19/2022 CM-S
11/25/2030 - CM-S</t>
  </si>
  <si>
    <t>-75.57434</t>
  </si>
  <si>
    <t>507 South Central Avenue</t>
  </si>
  <si>
    <t>After church was razed in 2017, the marker was refabricated and moved to location at the Christ Methodist Protestant Cemetery in Laurel, DE in 2022.</t>
  </si>
  <si>
    <t>https://archives.delaware.gov/delaware-historical-markers/christ-united-methodist-church/</t>
  </si>
  <si>
    <t>https://archives.delaware.gov/wp-content/uploads/sites/156/2019/06/sc-145-2.jpg</t>
  </si>
  <si>
    <t>SC-146</t>
  </si>
  <si>
    <t>New Zion UMC</t>
  </si>
  <si>
    <t>Rep. Timothy D. Dukes</t>
  </si>
  <si>
    <t xml:space="preserve">SC-147 </t>
  </si>
  <si>
    <t>Macedonia AME Church</t>
  </si>
  <si>
    <t>2/21/2022 - CM-S 7/19/2024 - CM-S</t>
  </si>
  <si>
    <t>Rep. Tina Fallon</t>
  </si>
  <si>
    <t>38.64710</t>
  </si>
  <si>
    <t>-75.60791</t>
  </si>
  <si>
    <t>431 North Street</t>
  </si>
  <si>
    <t>https://archives.delaware.gov/delaware-historical-markers/macedonia-ame-church/</t>
  </si>
  <si>
    <t>https://archives.delaware.gov/wp-content/uploads/sites/156/2019/06/sc-147-25.jpg</t>
  </si>
  <si>
    <t xml:space="preserve">SC-148 </t>
  </si>
  <si>
    <t>Indian River Inlet Life-Saving Station</t>
  </si>
  <si>
    <t>4/8/2022 - CM-S 5/31/2023 - CM-S 6/8/2023 - CM-S
1/11/2025 - CM-S</t>
  </si>
  <si>
    <t>Sen. George H. Bunting</t>
  </si>
  <si>
    <t>38.63388</t>
  </si>
  <si>
    <t>-75.06735</t>
  </si>
  <si>
    <t>25039 Coastal Highway</t>
  </si>
  <si>
    <t>Marker replaced 2021, 2001 Bronze</t>
  </si>
  <si>
    <t>2001, 2021</t>
  </si>
  <si>
    <t>https://archives.delaware.gov/delaware-historical-markers/indian-river-life-saving-station/</t>
  </si>
  <si>
    <t>https://archives.delaware.gov/wp-content/uploads/sites/156/2019/06/sc-148.jpg</t>
  </si>
  <si>
    <t xml:space="preserve">SC-149 </t>
  </si>
  <si>
    <t>St. Johnstown Methodist Church</t>
  </si>
  <si>
    <t>3/15/2022 CM-S
9/12/2022 - CM-S
9/13/2024 - CM-S</t>
  </si>
  <si>
    <t>13471 St. Johnstown Road</t>
  </si>
  <si>
    <t xml:space="preserve">SC-150 </t>
  </si>
  <si>
    <t>Mount Pleasant Methodist Church</t>
  </si>
  <si>
    <t>3/29/2022 - CM-S 7/19/2024 - CM-S</t>
  </si>
  <si>
    <t>38.52205</t>
  </si>
  <si>
    <t>-75.63333</t>
  </si>
  <si>
    <t>33038 Mount Pleasant Road</t>
  </si>
  <si>
    <t>https://archives.delaware.gov/delaware-historical-markers/mount-pleasant-methodist-church/</t>
  </si>
  <si>
    <t>https://archives.delaware.gov/wp-content/uploads/sites/156/2019/06/sc-150-25.jpg</t>
  </si>
  <si>
    <t xml:space="preserve">SC-151 </t>
  </si>
  <si>
    <t>Cokesbury Church</t>
  </si>
  <si>
    <t>11/11/2021 - CM-S
10-3-2023 - CM-S</t>
  </si>
  <si>
    <t>Sen. Thurman G. Adams Jr.</t>
  </si>
  <si>
    <t>38.69208</t>
  </si>
  <si>
    <t>-75.48064</t>
  </si>
  <si>
    <t>15092 Road 529</t>
  </si>
  <si>
    <t>https://archives.delaware.gov/delaware-historical-markers/cokesbury-church/</t>
  </si>
  <si>
    <t>https://archives.delaware.gov/wp-content/uploads/sites/156/2025/09/sc-151-25.jpg</t>
  </si>
  <si>
    <t xml:space="preserve">SC-152 </t>
  </si>
  <si>
    <t>Goshen United Methodist Church (Milton)</t>
  </si>
  <si>
    <t>3/5/2022 - CM-S  1/20/2024 - CM-S
11/2/2024 - CM-S
1/8/2025 - CM-S</t>
  </si>
  <si>
    <t>38.77465</t>
  </si>
  <si>
    <t>-75.31203</t>
  </si>
  <si>
    <t>103 Mulberry Street</t>
  </si>
  <si>
    <t>https://archives.delaware.gov/delaware-historical-markers/goshen-united-methodist-church/</t>
  </si>
  <si>
    <t>https://archives.delaware.gov/wp-content/uploads/sites/156/2019/06/sc_152.jpg</t>
  </si>
  <si>
    <t xml:space="preserve">SC-153 </t>
  </si>
  <si>
    <t>Milton Fire Department, Inc.</t>
  </si>
  <si>
    <t>3/14/2022 - CM-S
1/6/2025 - CM-S
1/8/2025 - CM-S</t>
  </si>
  <si>
    <t>38.77760</t>
  </si>
  <si>
    <t>-75.30950</t>
  </si>
  <si>
    <t>116 Front Street</t>
  </si>
  <si>
    <t xml:space="preserve">SC-154 </t>
  </si>
  <si>
    <t>Home of John G. Townsend Jr.</t>
  </si>
  <si>
    <t>4/8/2022 - CM-S 10/13/2023 - CM-S  11/7/2024 - CM-S</t>
  </si>
  <si>
    <t>38.45932</t>
  </si>
  <si>
    <t>-75.22066</t>
  </si>
  <si>
    <t>11 South Main Street</t>
  </si>
  <si>
    <t>https://archives.delaware.gov/delaware-historical-markers/john-g-townsend-jr/</t>
  </si>
  <si>
    <t>https://archives.delaware.gov/wp-content/uploads/sites/156/2019/06/sc-154-24.jpg</t>
  </si>
  <si>
    <t xml:space="preserve">SC-155 </t>
  </si>
  <si>
    <t>Old Seaford Post Office</t>
  </si>
  <si>
    <t>4/1/2022 - CM-S 6/13/2023 - CM-S 
12/26/2024 - CM-S</t>
  </si>
  <si>
    <t>203 High Street</t>
  </si>
  <si>
    <t xml:space="preserve">SC-156 </t>
  </si>
  <si>
    <t>St. John the Baptist Episcopal Church (Milton)</t>
  </si>
  <si>
    <t>3/14/2022 - CM-S
12/26/2023 - CM-S</t>
  </si>
  <si>
    <t>The State of Delaware Historical Markers Program 2025</t>
  </si>
  <si>
    <t>-75.31134</t>
  </si>
  <si>
    <t>307 Federal Street</t>
  </si>
  <si>
    <t>2002, 2025</t>
  </si>
  <si>
    <t>https://archives.delaware.gov/delaware-historical-markers/st-john-the-baptist-episcopal-church/</t>
  </si>
  <si>
    <t>https://archives.delaware.gov/wp-content/uploads/sites/156/2019/06/sc-156-24.jpg</t>
  </si>
  <si>
    <t xml:space="preserve">SC-157 </t>
  </si>
  <si>
    <t>Lewes Presbyterian Church and Cemetery</t>
  </si>
  <si>
    <t>8/17/2023 VLM
2/14/2024 - CM-S
4/9/2024 - CM-S</t>
  </si>
  <si>
    <t xml:space="preserve">2025 - Rep Stell Parker Selby and Sen Russ Huxtable </t>
  </si>
  <si>
    <t>133 Kings Highway</t>
  </si>
  <si>
    <t xml:space="preserve"> lpchurch@gmail.com</t>
  </si>
  <si>
    <t>https://archives.delaware.gov/delaware-historical-markers/lewes-presbyterian-church/</t>
  </si>
  <si>
    <t>https://archives.delaware.gov/wp-content/uploads/sites/156/2019/06/sc157.jpg</t>
  </si>
  <si>
    <t xml:space="preserve">SC-158 </t>
  </si>
  <si>
    <t>Bethany Beach Loop Canal</t>
  </si>
  <si>
    <t>38.54114</t>
  </si>
  <si>
    <t>-75.05749</t>
  </si>
  <si>
    <t>123 1st Street</t>
  </si>
  <si>
    <t>Bethany Beach</t>
  </si>
  <si>
    <t>2019</t>
  </si>
  <si>
    <t>https://archives.delaware.gov/delaware-historical-markers/bethany-beach-loop-canal/</t>
  </si>
  <si>
    <t>https://archives.delaware.gov/wp-content/uploads/sites/156/2019/06/sc-158-24.jpg</t>
  </si>
  <si>
    <t xml:space="preserve">SC-159 </t>
  </si>
  <si>
    <t>Epworth Cemetery (Laurel)</t>
  </si>
  <si>
    <t>7/18/2022 - CM-S
8/19/2022 - CM-S 10/13/2023 - CM-S</t>
  </si>
  <si>
    <t>Sen. Robert (Bob) L. Venables</t>
  </si>
  <si>
    <t>38.59501</t>
  </si>
  <si>
    <t>-75.47431</t>
  </si>
  <si>
    <t>Sycamore Road / Road 476, Laurel, DE 19956</t>
  </si>
  <si>
    <t>Replacement ordered, 2022; was bronze</t>
  </si>
  <si>
    <t>https://archives.delaware.gov/delaware-historical-markers/epworth-cemetery/</t>
  </si>
  <si>
    <t>https://archives.delaware.gov/wp-content/uploads/sites/156/2025/09/sc-159-25.jpg</t>
  </si>
  <si>
    <t xml:space="preserve">SC-160 </t>
  </si>
  <si>
    <t>Centenary United Methodist Church (Laurel)</t>
  </si>
  <si>
    <t>38.55671</t>
  </si>
  <si>
    <t>-75.57227</t>
  </si>
  <si>
    <t>210 West Market Street</t>
  </si>
  <si>
    <t>Needs verification of site/placement - 6/20/20 VM Replace 2023?</t>
  </si>
  <si>
    <t xml:space="preserve">SC-161 </t>
  </si>
  <si>
    <t>The Zwaanendael Club</t>
  </si>
  <si>
    <t>12/26/2023 - CM-S
4/9/2024 - CM-S
9/3/2024 - CM-S
1/11/2025 - CM-S</t>
  </si>
  <si>
    <t>https://archives.delaware.gov/delaware-historical-markers/zwaanendael-club/</t>
  </si>
  <si>
    <t>https://archives.delaware.gov/wp-content/uploads/sites/156/2019/06/sc-161-24.jpg</t>
  </si>
  <si>
    <t xml:space="preserve">SC-162 </t>
  </si>
  <si>
    <t>Governor Samuel Paynter</t>
  </si>
  <si>
    <t>5/31/2023 - CM-S 8/24/2023 - CM-S</t>
  </si>
  <si>
    <t>38.77756</t>
  </si>
  <si>
    <t>-75.31288</t>
  </si>
  <si>
    <t>South end Governor's Walk along Broadkill River, Mulberry Street near Art Crosswalk</t>
  </si>
  <si>
    <t>Moved after Governor's walk construction (from behind convien store) and reinstalled in new location along Governor's Walk (see photos)  5/31/2023.</t>
  </si>
  <si>
    <t>2002, 2017</t>
  </si>
  <si>
    <t>https://archives.delaware.gov/delaware-historical-markers/governor-samuel-paynter/</t>
  </si>
  <si>
    <t>https://archives.delaware.gov/wp-content/uploads/sites/156/2023/09/sc-162-2.jpg</t>
  </si>
  <si>
    <t xml:space="preserve">SC-163 </t>
  </si>
  <si>
    <t>St. Luke‘s Episcopal Church (Seaford)</t>
  </si>
  <si>
    <t>4/1/2022 - CM-S
6/13/2023 - CM-S
2/5/2024 - CM-S</t>
  </si>
  <si>
    <t>202 North Street</t>
  </si>
  <si>
    <t xml:space="preserve">SC-164 </t>
  </si>
  <si>
    <t>Seaford Fire Department</t>
  </si>
  <si>
    <t>4/1/2022 - CM-S</t>
  </si>
  <si>
    <t>302 East King Street</t>
  </si>
  <si>
    <t>https://archives.delaware.gov/delaware-historical-markers/seaford-fire-department/</t>
  </si>
  <si>
    <t>https://archives.delaware.gov/wp-content/uploads/sites/156/2019/06/sc_164.jpg</t>
  </si>
  <si>
    <t xml:space="preserve">SC-165 </t>
  </si>
  <si>
    <t>The Holly Industry</t>
  </si>
  <si>
    <t>9/10/2022 - CM-S 12/5/2022 - CM-S</t>
  </si>
  <si>
    <t>Milton Memorial Park, 113 Union Street</t>
  </si>
  <si>
    <t>Replaced 7/18/2022 w/ aluminum</t>
  </si>
  <si>
    <t>https://archives.delaware.gov/delaware-historical-markers/holly-industry/</t>
  </si>
  <si>
    <t>https://archives.delaware.gov/wp-content/uploads/sites/156/2025/11/sc-165-25.jpg</t>
  </si>
  <si>
    <t xml:space="preserve">SC-166 </t>
  </si>
  <si>
    <t>Portsville United Methodist Church</t>
  </si>
  <si>
    <t>3/29/2022 - CM-S
7/7/2023 - CM-S
1/8/2025 - CM-S</t>
  </si>
  <si>
    <t xml:space="preserve">38.56170 </t>
  </si>
  <si>
    <t>-75.62816</t>
  </si>
  <si>
    <t>31060 Dogwood Lane</t>
  </si>
  <si>
    <t xml:space="preserve">SC-167 </t>
  </si>
  <si>
    <t>The Bombardment of Lewes</t>
  </si>
  <si>
    <t xml:space="preserve"> 11/3/2023 - CM-S 2/15/2024 - CM-S
4/9/2024 - CM-S
1/11/2025 - CM-S</t>
  </si>
  <si>
    <t>38.77586</t>
  </si>
  <si>
    <t>117a Front Street</t>
  </si>
  <si>
    <t>1812 Memorial Park</t>
  </si>
  <si>
    <t xml:space="preserve">Janet Reeves, City of Lewes jreeves@ci.lewes.de.us </t>
  </si>
  <si>
    <t>SC-167 replaced SC-35 Lewes (about bombardment). Bronze marker (2003) reported missing 3-16-2022. Marker replaced and installed 8-17-2023.</t>
  </si>
  <si>
    <t xml:space="preserve">https://archives.delaware.gov/delaware-historical-markers/bombardment-of-lewes/ </t>
  </si>
  <si>
    <t xml:space="preserve">https://archives.delaware.gov/wp-content/uploads/sites/156/2019/06/sc-167-2.jpg </t>
  </si>
  <si>
    <t xml:space="preserve">SC-168 </t>
  </si>
  <si>
    <t>The Cannonball House</t>
  </si>
  <si>
    <t>3/16/2022 - CM-S 7/13/2023 - CM-S
11/3/2023 - CM-S
2/15/2024 - CM-S
4/9/2024 - CM-S
9/3/2024 - CM-S
1/11/2025 - CM-S</t>
  </si>
  <si>
    <t>38.77591</t>
  </si>
  <si>
    <t>118 Front Street</t>
  </si>
  <si>
    <t>2-14-2024: Marker was turned by historic society since prior visit.</t>
  </si>
  <si>
    <t xml:space="preserve">SC-169 </t>
  </si>
  <si>
    <t>Trinity Methodist Church (Laurel)</t>
  </si>
  <si>
    <t>4/14/2022 - CM-S</t>
  </si>
  <si>
    <t>38.55136</t>
  </si>
  <si>
    <t>-75.44917</t>
  </si>
  <si>
    <t>17249 Phillips Hill Road</t>
  </si>
  <si>
    <t xml:space="preserve">SC-170 </t>
  </si>
  <si>
    <t>Georgetown Fire Company</t>
  </si>
  <si>
    <t xml:space="preserve"> 7/19/2024 - CM-S 11/1/2024-CM-S
12/26/2024 - CM-S</t>
  </si>
  <si>
    <t>38.68898</t>
  </si>
  <si>
    <t>-75.38474</t>
  </si>
  <si>
    <t>100 South Bedford Street</t>
  </si>
  <si>
    <t>https://archives.delaware.gov/delaware-historical-markers/georgetown-fire-company/</t>
  </si>
  <si>
    <t>https://archives.delaware.gov/wp-content/uploads/sites/156/2019/06/sc_170.jpg</t>
  </si>
  <si>
    <t xml:space="preserve">SC-171 </t>
  </si>
  <si>
    <t>West Rehoboth</t>
  </si>
  <si>
    <t>Sen. Ernesto B. "Ernie" Lopez and Rep. Peter Schwartzkopf</t>
  </si>
  <si>
    <t xml:space="preserve">SC-172 </t>
  </si>
  <si>
    <t>Bullseye - Ferry Landing</t>
  </si>
  <si>
    <t>11/2/2023 - CM-S</t>
  </si>
  <si>
    <t>Sen. Gerald W. Hocker &amp; Rep. Richard Collins</t>
  </si>
  <si>
    <t>38.60283</t>
  </si>
  <si>
    <t>-75.24304</t>
  </si>
  <si>
    <t>28471 John J Williams Hwy</t>
  </si>
  <si>
    <t>The Nature Conservancy natasha.whetzel@TNC.ORG 302-654-4707</t>
  </si>
  <si>
    <t>Installed 9/13/2023, Photo Op 11/2/2023</t>
  </si>
  <si>
    <t>https://archives.delaware.gov/delaware-historical-markers/bullseye-ferry-landing/</t>
  </si>
  <si>
    <t>https://archives.delaware.gov/wp-content/uploads/sites/156/2019/06/sc_172-2.jpg</t>
  </si>
  <si>
    <t xml:space="preserve">SC-173 </t>
  </si>
  <si>
    <t>Woodland Ferry</t>
  </si>
  <si>
    <t>2/21/2022 - CM-S 6/13/2023 - CM-S</t>
  </si>
  <si>
    <t>7/5/2023 - CM-S</t>
  </si>
  <si>
    <t>38.59912</t>
  </si>
  <si>
    <t>-75.65593</t>
  </si>
  <si>
    <t xml:space="preserve">South Side of Nanticoke River on Woodland Ferry Road </t>
  </si>
  <si>
    <t>https://archives.delaware.gov/delaware-historical-markers/woodland-ferry/</t>
  </si>
  <si>
    <t>https://archives.delaware.gov/wp-content/uploads/sites/156/2019/06/sc-173-2.jpg</t>
  </si>
  <si>
    <t xml:space="preserve">SC-174 </t>
  </si>
  <si>
    <t>Zion United Methodist Church (Milton)</t>
  </si>
  <si>
    <t>3/14/2022 - CM-S 1/19/2024 - CM-S</t>
  </si>
  <si>
    <t>State of Delaware Historical Markers Program, 2003</t>
  </si>
  <si>
    <t>38.80166</t>
  </si>
  <si>
    <t>-75.27742</t>
  </si>
  <si>
    <t>26743 Broadkill Road</t>
  </si>
  <si>
    <t>https://archives.delaware.gov/delaware-historical-markers/zion-united-methodist-church/</t>
  </si>
  <si>
    <t>https://archives.delaware.gov/wp-content/uploads/sites/156/2019/06/sc-174-25.jpg</t>
  </si>
  <si>
    <t xml:space="preserve">SC-175 </t>
  </si>
  <si>
    <t>Lightship Overfalls</t>
  </si>
  <si>
    <t>3/16/2022 - CM-S 2/15/2024 - CM-S
4/9/2024 - CM-S
9/3/2024 - CM-S
1/11/2025 - CM-S</t>
  </si>
  <si>
    <t>38.77778</t>
  </si>
  <si>
    <t>219 Pilottown Road</t>
  </si>
  <si>
    <t>https://archives.delaware.gov/delaware-historical-markers/lightship-overfalls/</t>
  </si>
  <si>
    <t>https://archives.delaware.gov/wp-content/uploads/sites/156/2019/06/sc-175.jpg</t>
  </si>
  <si>
    <t xml:space="preserve">SC-176 </t>
  </si>
  <si>
    <t>Governor David Hazzard</t>
  </si>
  <si>
    <t>5/31/2023 - CM-S
9/27/2023 - CM-S
11/1/2023 - CM-S</t>
  </si>
  <si>
    <t>38.77856</t>
  </si>
  <si>
    <t>-75.31125</t>
  </si>
  <si>
    <t>The Governor's Walk, 100 Magnolia Street</t>
  </si>
  <si>
    <t>Replacement ordered for Bronze, 2022. Alumninum replacement received and installed 5/31/2023.</t>
  </si>
  <si>
    <t>2003, 2023</t>
  </si>
  <si>
    <t>https://archives.delaware.gov/delaware-historical-markers/governor-david-hazzard/</t>
  </si>
  <si>
    <t>https://archives.delaware.gov/wp-content/uploads/sites/156/2019/06/sc-176-24.jpg</t>
  </si>
  <si>
    <t xml:space="preserve">SC-177 </t>
  </si>
  <si>
    <t>St. Johns United Methodist Church (Seaford)</t>
  </si>
  <si>
    <t xml:space="preserve">4/1/2022 - CM-S </t>
  </si>
  <si>
    <t>300 North Pine Street</t>
  </si>
  <si>
    <t xml:space="preserve">SC-178 </t>
  </si>
  <si>
    <t>Oak Grove Crownstone</t>
  </si>
  <si>
    <t>29000 North Oak Grove Road</t>
  </si>
  <si>
    <t xml:space="preserve">SC-179 </t>
  </si>
  <si>
    <t>Phillis Wheatley School</t>
  </si>
  <si>
    <t>-75.60103</t>
  </si>
  <si>
    <t>48 Church Street</t>
  </si>
  <si>
    <t>https://archives.delaware.gov/delaware-historical-markers/phillis-wheatley-school/</t>
  </si>
  <si>
    <t>https://archives.delaware.gov/wp-content/uploads/sites/156/2019/06/sc_179.jpg</t>
  </si>
  <si>
    <t xml:space="preserve">SC-180 </t>
  </si>
  <si>
    <t>Hiram Rodney Burton House</t>
  </si>
  <si>
    <t>3/16/2022 - CM-S
2/14/2024 - CM-S
4/9/2024 - CM-S
9/4/2024 - CM-S
1/11/2025 - CM-S</t>
  </si>
  <si>
    <t>Rep. Joseph "Joe" W. Booth</t>
  </si>
  <si>
    <t>110 Shipcarpenter Street</t>
  </si>
  <si>
    <t xml:space="preserve">SC-181 </t>
  </si>
  <si>
    <t>Gumboro School</t>
  </si>
  <si>
    <t>3/7/2022 - CM-S 5/12/2023 - CM-S 11/7/2024 - CM-S
1/8/2025 - CM-S</t>
  </si>
  <si>
    <t>38.48323</t>
  </si>
  <si>
    <t>-75.36459</t>
  </si>
  <si>
    <t>36849 Millsboro Hwy.</t>
  </si>
  <si>
    <t xml:space="preserve">SC-182 </t>
  </si>
  <si>
    <t>The Wading Place</t>
  </si>
  <si>
    <t>38.55799</t>
  </si>
  <si>
    <t>-75.56965</t>
  </si>
  <si>
    <t>216 East Front Street</t>
  </si>
  <si>
    <t xml:space="preserve">SC-183 </t>
  </si>
  <si>
    <t>US Army Radar Site 11</t>
  </si>
  <si>
    <t>Rep. Gerald W. Hocker</t>
  </si>
  <si>
    <t>38.52520</t>
  </si>
  <si>
    <t>-75.10834</t>
  </si>
  <si>
    <t>33 Magnolia Street</t>
  </si>
  <si>
    <t>Marker is approx 183 feet south of address along street</t>
  </si>
  <si>
    <t xml:space="preserve">SC-184 </t>
  </si>
  <si>
    <t>Milford's Struggle for Educational Equality</t>
  </si>
  <si>
    <t>3/15/2022 - CM-S
SITE UNDER CONSTRUCTION - MARKER AT SHOP</t>
  </si>
  <si>
    <t>38.90427</t>
  </si>
  <si>
    <t>-75.43658</t>
  </si>
  <si>
    <t>612 Lakeview Avenue</t>
  </si>
  <si>
    <t>8/22/2022: School under renovation - marker to be picked up for storage until complete. 9/27/2023: CTf funding from Shupe finalized for replacement.</t>
  </si>
  <si>
    <t xml:space="preserve">SC-184A </t>
  </si>
  <si>
    <t>Ellendale's Railroad Square</t>
  </si>
  <si>
    <t>3/6/2022 - CM-S
4/15/2024 - CM-S</t>
  </si>
  <si>
    <t>38.80696</t>
  </si>
  <si>
    <t>-75.42288</t>
  </si>
  <si>
    <t>E Railroad Avenue and Main St</t>
  </si>
  <si>
    <t>Ellendale</t>
  </si>
  <si>
    <t>https://archives.delaware.gov/delaware-historical-markers/ellendales-railroad-square/</t>
  </si>
  <si>
    <t>https://archives.delaware.gov/wp-content/uploads/sites/156/2019/06/sc_184a.jpg</t>
  </si>
  <si>
    <t xml:space="preserve">SC-185 </t>
  </si>
  <si>
    <t>Delaware Breakwater East End Lighthouse</t>
  </si>
  <si>
    <t>Sen. F. Gary Simpson &amp; Rep. Joseph Booth</t>
  </si>
  <si>
    <t>38.78211</t>
  </si>
  <si>
    <t>43 Cape Henlopen Drive</t>
  </si>
  <si>
    <t>The Pier at Port Lewes</t>
  </si>
  <si>
    <t xml:space="preserve">Lewes Ferry Terimal </t>
  </si>
  <si>
    <t>Located at Cape-May Lewis Ferry Terminal Dock</t>
  </si>
  <si>
    <t>https://archives.delaware.gov/delaware-historical-markers/delaware-east-end-breakwater-lighthouse/</t>
  </si>
  <si>
    <t>https://archives.delaware.gov/wp-content/uploads/sites/156/2019/06/sc-185-2.jpg</t>
  </si>
  <si>
    <t xml:space="preserve">SC-186 </t>
  </si>
  <si>
    <t>Harbor of Refuge Lighthouse</t>
  </si>
  <si>
    <t>3/16/2022 - CM-S
1/8/2024 - CM-S</t>
  </si>
  <si>
    <t xml:space="preserve">SC-187 </t>
  </si>
  <si>
    <t>Harmony United Methodist Church</t>
  </si>
  <si>
    <t>8/21/2022-CM-S</t>
  </si>
  <si>
    <t>Sen. John Atkins</t>
  </si>
  <si>
    <t>38.60599</t>
  </si>
  <si>
    <t>-75.21867</t>
  </si>
  <si>
    <t>27270 John J. Williams Highway</t>
  </si>
  <si>
    <t>Replaced 6/16/2022; was bronze</t>
  </si>
  <si>
    <t>https://archives.delaware.gov/delaware-historical-markers/harmony-united-methodist-church/</t>
  </si>
  <si>
    <t>https://archives.delaware.gov/wp-content/uploads/sites/156/2019/06/sc_187.jpg</t>
  </si>
  <si>
    <t xml:space="preserve">SC-188 </t>
  </si>
  <si>
    <t>Governor Joseph Maull</t>
  </si>
  <si>
    <t>5/31/2023 - CM-S 9/11/2023 - CM-S 11/30/2023 - CM-S</t>
  </si>
  <si>
    <t>12/5/2023 - VLM</t>
  </si>
  <si>
    <t>38.77826</t>
  </si>
  <si>
    <t>-75.31188</t>
  </si>
  <si>
    <t>106 Union Street</t>
  </si>
  <si>
    <t>Governor's Walk, Milton, Delawware</t>
  </si>
  <si>
    <t xml:space="preserve">Town of Milton </t>
  </si>
  <si>
    <t>Single-sided bronze on main street.Replacement ordered, 2022. Replacement received and installed 5/31/2023</t>
  </si>
  <si>
    <t>2004, 2023</t>
  </si>
  <si>
    <t>https://archives.delaware.gov/delaware-historical-markers/governor-joseph-maull/</t>
  </si>
  <si>
    <t>https://archives.delaware.gov/wp-content/uploads/sites/156/2019/06/sc-188-2.jpg</t>
  </si>
  <si>
    <t xml:space="preserve">SC-189 </t>
  </si>
  <si>
    <t xml:space="preserve">SC-190 </t>
  </si>
  <si>
    <t>Blackwater Presbyterian Church</t>
  </si>
  <si>
    <t>4/8/2022 - CM-S  10/13/2023 - CM-S</t>
  </si>
  <si>
    <t>10/31/2023 - VLM</t>
  </si>
  <si>
    <t>38.54602</t>
  </si>
  <si>
    <t>-75.16222</t>
  </si>
  <si>
    <t>33117 Omar Road</t>
  </si>
  <si>
    <t>Church was demolished in 2018, replaced with steel "shadow" structure on footprint in 2020. Marker text to be updated at next replacement.</t>
  </si>
  <si>
    <t>https://archives.delaware.gov/delaware-historical-markers/blackwater-presbyterian-church/</t>
  </si>
  <si>
    <t>https://archives.delaware.gov/wp-content/uploads/sites/156/2019/06/sc-190-2.jpg</t>
  </si>
  <si>
    <t xml:space="preserve">SC-191 </t>
  </si>
  <si>
    <t>Sailor's Bethel United Methodist Church (Bethel)</t>
  </si>
  <si>
    <t>3/29/2022 - CM-S 7/7/2023 - CM-S 1/8/2025 - CM-S</t>
  </si>
  <si>
    <t>7752 Main Avenue</t>
  </si>
  <si>
    <t>https://archives.delaware.gov/delaware-historical-markers/sailors-bethel-methodist-church/</t>
  </si>
  <si>
    <t>https://archives.delaware.gov/wp-content/uploads/sites/156/2019/06/sc-191.jpg</t>
  </si>
  <si>
    <t xml:space="preserve">SC-192 </t>
  </si>
  <si>
    <t xml:space="preserve">SC-193 </t>
  </si>
  <si>
    <t>Georgetown Train Station</t>
  </si>
  <si>
    <t>4/5/2022 - CM-S 8/17/2023 - CM-S
12/26/2024 - CM-S</t>
  </si>
  <si>
    <t>38.69326</t>
  </si>
  <si>
    <t>-75.38599</t>
  </si>
  <si>
    <t>140 Layton Avenue</t>
  </si>
  <si>
    <t xml:space="preserve">SC-194 </t>
  </si>
  <si>
    <t xml:space="preserve">SC-195 </t>
  </si>
  <si>
    <t>Mount Zion United Methodist Church (Laurel)</t>
  </si>
  <si>
    <t>38.59569</t>
  </si>
  <si>
    <t>-75.59029</t>
  </si>
  <si>
    <t>28312 Seaford Road</t>
  </si>
  <si>
    <t>https://archives.delaware.gov/delaware-historical-markers/mt-zion-united-methodist-church/</t>
  </si>
  <si>
    <t>https://archives.delaware.gov/wp-content/uploads/sites/156/2019/06/sc-195-24.jpg</t>
  </si>
  <si>
    <t xml:space="preserve">SC-196 </t>
  </si>
  <si>
    <t>Milton Public Library</t>
  </si>
  <si>
    <t>3/14/2022 - CM-S
4/11/2024 - CM-S
1/8/2025 - CM-S</t>
  </si>
  <si>
    <t>121 Union Street</t>
  </si>
  <si>
    <t xml:space="preserve">SC-197 </t>
  </si>
  <si>
    <t>Stein Highway</t>
  </si>
  <si>
    <t>877 West Stein Highway</t>
  </si>
  <si>
    <t>https://archives.delaware.gov/delaware-historical-markers/stein-highway/</t>
  </si>
  <si>
    <t>https://archives.delaware.gov/wp-content/uploads/sites/156/2025/09/sc-197-25.jpg</t>
  </si>
  <si>
    <t xml:space="preserve">SC-198 </t>
  </si>
  <si>
    <t>Town of Ellendale</t>
  </si>
  <si>
    <t>Rep. V. George Carey (2005)</t>
  </si>
  <si>
    <t>-75.42466</t>
  </si>
  <si>
    <t>501 Main Street</t>
  </si>
  <si>
    <t>Some files may refer to this as marker SC-198. Two markers had same SC-198 number. Gov Ponder maker will remain SC-198. Ellendale will become SC-199 at replacement - Dec 2023. Replace 2024?</t>
  </si>
  <si>
    <t>SC-199</t>
  </si>
  <si>
    <t>Governor James Ponder</t>
  </si>
  <si>
    <t>3/6/2022 - CM-S  1/20/2024 - CM-S
1/8/2025 - CM-S</t>
  </si>
  <si>
    <t>38.77618</t>
  </si>
  <si>
    <t>-75.31167</t>
  </si>
  <si>
    <t>Mill Park, 114 Mulberry Street</t>
  </si>
  <si>
    <t>Some files may refer to this as marker SC-198A. Two markers had same SC-198 number. Gov Ponder maker will remain SC-198. Ellendale will become SC-199 at replacement - Dec 2023.</t>
  </si>
  <si>
    <t xml:space="preserve">SC-200 </t>
  </si>
  <si>
    <t>Edward Redfield</t>
  </si>
  <si>
    <t>Rep. Benjamin "Ben" Ewing</t>
  </si>
  <si>
    <t>107 Delaware Avenue</t>
  </si>
  <si>
    <t>https://archives.delaware.gov/delaware-historical-markers/edward-redfield/</t>
  </si>
  <si>
    <t>https://archives.delaware.gov/wp-content/uploads/sites/156/2019/06/sc-200.jpg</t>
  </si>
  <si>
    <t xml:space="preserve">SC-201 </t>
  </si>
  <si>
    <t>Town of Millsboro</t>
  </si>
  <si>
    <t>4/1/2022 - CM-S 8/21/2023 - CM-S
1/1/2025 - CM-S</t>
  </si>
  <si>
    <t>Rep. John C. Atkins</t>
  </si>
  <si>
    <t>322 Wilson Highway</t>
  </si>
  <si>
    <t xml:space="preserve">SC-202 </t>
  </si>
  <si>
    <t>St. Peter‘s Episcopal Church</t>
  </si>
  <si>
    <t>Sen. Catherine Cloutier (verified 12/13/2023 - CM/S)</t>
  </si>
  <si>
    <t>38.77566</t>
  </si>
  <si>
    <t>200 2nd Street</t>
  </si>
  <si>
    <t>St. Peter's Episcopal Church, Lewes</t>
  </si>
  <si>
    <t>https://archives.delaware.gov/delaware-historical-markers/st-peters-episcopal-church/</t>
  </si>
  <si>
    <t>https://archives.delaware.gov/wp-content/uploads/sites/156/2019/06/sc-202-2.jpg</t>
  </si>
  <si>
    <t xml:space="preserve">SC-203 </t>
  </si>
  <si>
    <t>Hope Lodge No. 42</t>
  </si>
  <si>
    <t>38.55438</t>
  </si>
  <si>
    <t>-75.57123</t>
  </si>
  <si>
    <t>102 West 6th Street</t>
  </si>
  <si>
    <t>Marker SC-202A renamed to unassigned SC-203 - Dec 2023.</t>
  </si>
  <si>
    <t xml:space="preserve">SC-204 </t>
  </si>
  <si>
    <t>Home of Major Henry Fisher</t>
  </si>
  <si>
    <t>4/8/2022 - CM-S 2/15/2024 - CM-S
4/9/2024 - CM-S</t>
  </si>
  <si>
    <t>Rep. Joseph G."Joe" DiPinto &amp; Sen. Nancy W. Cook</t>
  </si>
  <si>
    <t>38.78396</t>
  </si>
  <si>
    <t>-75.15667</t>
  </si>
  <si>
    <t>624 Pilottown Road</t>
  </si>
  <si>
    <t xml:space="preserve">SC-205 </t>
  </si>
  <si>
    <t>Civil Air Patrol - Coastal Patrol Base Two</t>
  </si>
  <si>
    <t>4/8/2022 - CM-S 1/26/2024 - CM-S</t>
  </si>
  <si>
    <t>38.72162</t>
  </si>
  <si>
    <t>-75.12292</t>
  </si>
  <si>
    <t>35721 Airport Road</t>
  </si>
  <si>
    <t xml:space="preserve">Chuck Snyder </t>
  </si>
  <si>
    <t>https://archives.delaware.gov/delaware-historical-markers/civil-air-patrol/</t>
  </si>
  <si>
    <t>https://archives.delaware.gov/wp-content/uploads/sites/156/2019/06/sc-205-2.jpg</t>
  </si>
  <si>
    <t xml:space="preserve">SC-206 </t>
  </si>
  <si>
    <t>Inside Lighthouse?</t>
  </si>
  <si>
    <t xml:space="preserve"> Inaccessible</t>
  </si>
  <si>
    <t>Cape Henlopen State Park: 15099 Cape Henlopen Dr</t>
  </si>
  <si>
    <t>Located in Lighhouse</t>
  </si>
  <si>
    <t xml:space="preserve">SC-207 </t>
  </si>
  <si>
    <t>Governor Joseph Maull Carey</t>
  </si>
  <si>
    <t>4/4/2022 - CM-S   1/20/2024 - CM-S
1/8/2025 - CM-S</t>
  </si>
  <si>
    <t>Rep. V. George Carey (1998) / State of Delaware Historic Markers Program (2023)</t>
  </si>
  <si>
    <t>38.77593</t>
  </si>
  <si>
    <t>-75.31109</t>
  </si>
  <si>
    <t>Intersection of Coulter Street and Federal Street at entrance to Mill Park pathway</t>
  </si>
  <si>
    <t xml:space="preserve">SC-208 </t>
  </si>
  <si>
    <t>Carey Storehouse</t>
  </si>
  <si>
    <t>3/14/2022 - CM-S</t>
  </si>
  <si>
    <t>-75.31219</t>
  </si>
  <si>
    <t>302 Union Street</t>
  </si>
  <si>
    <t>https://archives.delaware.gov/delaware-historical-markers/carey-storehouse/</t>
  </si>
  <si>
    <t>https://archives.delaware.gov/wp-content/uploads/sites/156/2019/06/sc-208-24.jpg</t>
  </si>
  <si>
    <t xml:space="preserve">SC-209 </t>
  </si>
  <si>
    <t>Chaplain's Chapel United Methodist Church</t>
  </si>
  <si>
    <t>3/15/2022 - CM-S 8/24/2023 - CM-S 2/5/2024 - CM-S</t>
  </si>
  <si>
    <t>38.74250</t>
  </si>
  <si>
    <t>13099 Deer Forest Road</t>
  </si>
  <si>
    <t>https://archives.delaware.gov/delaware-historical-markers/chaplains-chapel/</t>
  </si>
  <si>
    <t>https://archives.delaware.gov/wp-content/uploads/sites/156/2019/06/sc-208-25.jpg</t>
  </si>
  <si>
    <t xml:space="preserve">SC-210 </t>
  </si>
  <si>
    <t>Saint Mark's Episcopal Church</t>
  </si>
  <si>
    <t>4/1/2022 - CM-S
5/21/2024 - CM-S
 8/21/2023 - CM-S 11/7/2024 - CM-S</t>
  </si>
  <si>
    <t>Sen. George H. Bunting &amp; Rep. John Atkins</t>
  </si>
  <si>
    <t>110 West State Street</t>
  </si>
  <si>
    <t>https://archives.delaware.gov/delaware-historical-markers/st-marks-ep-church/</t>
  </si>
  <si>
    <t>https://archives.delaware.gov/wp-content/uploads/sites/156/2025/12/sc-210-25.jpg</t>
  </si>
  <si>
    <t xml:space="preserve">SC-211 </t>
  </si>
  <si>
    <t>Governor William H. Ross</t>
  </si>
  <si>
    <t>38.64344</t>
  </si>
  <si>
    <t>202 North Front Street</t>
  </si>
  <si>
    <t>https://archives.delaware.gov/delaware-historical-markers/governor-william-ross/</t>
  </si>
  <si>
    <t>https://archives.delaware.gov/wp-content/uploads/sites/156/2019/06/sc_211.jpg</t>
  </si>
  <si>
    <t xml:space="preserve">SC-212 </t>
  </si>
  <si>
    <t>Home of John J. Williams “Conscience of the Senate”</t>
  </si>
  <si>
    <t>4/3/2022 - CM-S 11/7/2024 - CM-S</t>
  </si>
  <si>
    <t>Rep. Joseph G."Joe" DiPinto &amp; Rep. John Atkins</t>
  </si>
  <si>
    <t>38.59204</t>
  </si>
  <si>
    <t>-75.29198</t>
  </si>
  <si>
    <t>104 West State Street</t>
  </si>
  <si>
    <t>Replaced in 2021</t>
  </si>
  <si>
    <t>https://archives.delaware.gov/delaware-historical-markers/sen-john-j-williams/</t>
  </si>
  <si>
    <t>https://archives.delaware.gov/wp-content/uploads/sites/156/2019/06/SC_212.jpg</t>
  </si>
  <si>
    <t xml:space="preserve">SC-213 </t>
  </si>
  <si>
    <t>Ocean View Presbyterian Church</t>
  </si>
  <si>
    <t>38.54551</t>
  </si>
  <si>
    <t>-75.09015</t>
  </si>
  <si>
    <t>67 Central Avenue</t>
  </si>
  <si>
    <t>https://archives.delaware.gov/delaware-historical-markers/ocean-view-presbyterian-church/</t>
  </si>
  <si>
    <t>https://archives.delaware.gov/wp-content/uploads/sites/156/2019/06/sc-213-2024.jpg</t>
  </si>
  <si>
    <t xml:space="preserve">SC-214 </t>
  </si>
  <si>
    <t>Menhaden Fishing Industry</t>
  </si>
  <si>
    <t>Sen. F. Gary Simpson &amp; Sen. Catherine Cloutier</t>
  </si>
  <si>
    <t>38.77628</t>
  </si>
  <si>
    <t>-75.14327</t>
  </si>
  <si>
    <t>500 W 3rd Street</t>
  </si>
  <si>
    <t>Lewes Historical Society Main Campus</t>
  </si>
  <si>
    <t>Relocated from Lewes Canal Front Park to Lewes Historical Society Campus in 2020</t>
  </si>
  <si>
    <t>https://archives.delaware.gov/delaware-historical-markers/mariners-bethel-united-methodist-church/</t>
  </si>
  <si>
    <t>https://archives.delaware.gov/wp-content/uploads/sites/156/2019/06/sc-124-24.jpg</t>
  </si>
  <si>
    <t xml:space="preserve">SC-215 </t>
  </si>
  <si>
    <t>Rising Sun Lodge #4, F. &amp; A.M., P.H.A.</t>
  </si>
  <si>
    <t>3/1/2022 - CM-S 7/19/2024 - CM-S
4/9/2024 - CM-S</t>
  </si>
  <si>
    <t>38.77122</t>
  </si>
  <si>
    <t>-75.31257</t>
  </si>
  <si>
    <t>516 Chestnut Street</t>
  </si>
  <si>
    <t>Needs replacement.</t>
  </si>
  <si>
    <t xml:space="preserve">SC-216 </t>
  </si>
  <si>
    <t>Golden Rule Lodge #17, I.O.O.F.</t>
  </si>
  <si>
    <t>3/14/2022 - CM-S
10/29/2023 - CM-S</t>
  </si>
  <si>
    <t>38.77437</t>
  </si>
  <si>
    <t>-75.31051</t>
  </si>
  <si>
    <t>112 Chestnut Street</t>
  </si>
  <si>
    <t>10/29/2023 - Marker has been painted all black. Looks like someone is planning a self-restore.</t>
  </si>
  <si>
    <t xml:space="preserve">SC-217 </t>
  </si>
  <si>
    <t>Milton Museum</t>
  </si>
  <si>
    <t xml:space="preserve"> 3/27/2023 - CM-S 1/8/2025 - CM-S</t>
  </si>
  <si>
    <t>38.77915</t>
  </si>
  <si>
    <t>-75.31154</t>
  </si>
  <si>
    <t>210 Union Street</t>
  </si>
  <si>
    <t>https://archives.delaware.gov/delaware-historical-markers/milton-museum/</t>
  </si>
  <si>
    <t>https://archives.delaware.gov/wp-content/uploads/sites/156/2019/06/sc-217-25.jpg</t>
  </si>
  <si>
    <t xml:space="preserve">SC-218 </t>
  </si>
  <si>
    <t>The Delaware Railroad</t>
  </si>
  <si>
    <t>4/1/2022 - CM-S 6/13/2023 - CM-S 7/19/2024 - CM-S</t>
  </si>
  <si>
    <t>105 High Street</t>
  </si>
  <si>
    <t xml:space="preserve">SC-219 </t>
  </si>
  <si>
    <t>David Hall House</t>
  </si>
  <si>
    <t>3/16/2022 - CM-S
2/14/2024 - CM-S
4/9/2024 - CM-S
1/11/2025 - CM-S</t>
  </si>
  <si>
    <t>101 East Third Street</t>
  </si>
  <si>
    <t>https://archives.delaware.gov/delaware-historical-markers/david-hall-house/</t>
  </si>
  <si>
    <t>https://archives.delaware.gov/wp-content/uploads/sites/156/2019/06/sc_219.jpg</t>
  </si>
  <si>
    <t xml:space="preserve">SC-220 </t>
  </si>
  <si>
    <t>Conley’s Chapel</t>
  </si>
  <si>
    <t>4/8/2022 - CM-S</t>
  </si>
  <si>
    <t>Rep. Peter C. Schwartkopf</t>
  </si>
  <si>
    <t>38.68342</t>
  </si>
  <si>
    <t>-75.18608</t>
  </si>
  <si>
    <t>22150 Robinsonville Road</t>
  </si>
  <si>
    <t>https://archives.delaware.gov/delaware-historical-markers/conleys-chapel/</t>
  </si>
  <si>
    <t>https://archives.delaware.gov/wp-content/uploads/sites/156/2019/06/sc-220.jpg</t>
  </si>
  <si>
    <t xml:space="preserve">SC-221 </t>
  </si>
  <si>
    <t>The Blizzard of 1888</t>
  </si>
  <si>
    <t>2 Shipcarpenter Street</t>
  </si>
  <si>
    <t>https://archives.delaware.gov/delaware-historical-markers/lewes-blizzard-of-1888/</t>
  </si>
  <si>
    <t>https://archives.delaware.gov/wp-content/uploads/sites/156/2019/06/SC_221.jpg</t>
  </si>
  <si>
    <t xml:space="preserve">SC-222 </t>
  </si>
  <si>
    <t>Site of Reynold’s Church</t>
  </si>
  <si>
    <t>1/31/2022 - CM-S 2/15/2024 - CM-S</t>
  </si>
  <si>
    <t>38.77813</t>
  </si>
  <si>
    <t>-75.14138</t>
  </si>
  <si>
    <t>23241 Reynolds Pond Road</t>
  </si>
  <si>
    <t>Reynolds Methodist Episcopal Cemetery</t>
  </si>
  <si>
    <t>https://archives.delaware.gov/delaware-historical-markers/site-of-reynolds-church/</t>
  </si>
  <si>
    <t>https://archives.delaware.gov/wp-content/uploads/sites/156/2019/06/sc_222-2.jpg</t>
  </si>
  <si>
    <t xml:space="preserve">SC-223 </t>
  </si>
  <si>
    <t>Hearn's Pond</t>
  </si>
  <si>
    <t>4/1/2022 - CM-S
6/8/2024 - CM-S</t>
  </si>
  <si>
    <t>22281 Bridgeville Highway</t>
  </si>
  <si>
    <t>Single-sided bronze on a street with both sides visable</t>
  </si>
  <si>
    <t xml:space="preserve">SC-224 </t>
  </si>
  <si>
    <t>Endeavor Lodge #17 A.F. &amp; A.M.</t>
  </si>
  <si>
    <t>5/8/2024 - CM-S
1/6/2025 - CM-S
2/7/2025 - CM-S</t>
  </si>
  <si>
    <t>-75.30892</t>
  </si>
  <si>
    <t>302 Mill Street</t>
  </si>
  <si>
    <t xml:space="preserve">SC-225 </t>
  </si>
  <si>
    <t>Sand Hill Church</t>
  </si>
  <si>
    <t>4/1/2022 - CM-S 7/7/2023 - CM-S 11/7/2024 - CM-S</t>
  </si>
  <si>
    <t>18497 Sand Hill Road</t>
  </si>
  <si>
    <t>Refurbished and reinstalled  2019</t>
  </si>
  <si>
    <t xml:space="preserve">SC-226 </t>
  </si>
  <si>
    <t>Rosedale Beach Hotel and Resort</t>
  </si>
  <si>
    <t>38.59538</t>
  </si>
  <si>
    <t>-75.20920</t>
  </si>
  <si>
    <t>Crepe Myrtle Drive</t>
  </si>
  <si>
    <t>Refurbished and reinstalled 2022</t>
  </si>
  <si>
    <t>https://archives.delaware.gov/delaware-historical-markers/rosedale-beach-hotel-and-resort/</t>
  </si>
  <si>
    <t>https://archives.delaware.gov/wp-content/uploads/sites/156/2022/05/SC_226.jpg</t>
  </si>
  <si>
    <t xml:space="preserve">SC-227 </t>
  </si>
  <si>
    <t>The Tina Fallon</t>
  </si>
  <si>
    <t>38.60044</t>
  </si>
  <si>
    <t>5126 Woodland Ferry Rd</t>
  </si>
  <si>
    <t xml:space="preserve">Seaford </t>
  </si>
  <si>
    <t>DelDOT Woodland Ferry Captain House</t>
  </si>
  <si>
    <t xml:space="preserve">Alastair Probert, DelDOT Alastair.Probert@delaware.gov </t>
  </si>
  <si>
    <t>SC-227 replaced SC-065 Cannon's Ferry in 2012</t>
  </si>
  <si>
    <t>2012</t>
  </si>
  <si>
    <t>https://archives.delaware.gov/delaware-historical-markers/the-tina-fallon/</t>
  </si>
  <si>
    <t>https://archives.delaware.gov/wp-content/uploads/sites/156/2022/03/sc_227.jpg</t>
  </si>
  <si>
    <t xml:space="preserve">SC-228 </t>
  </si>
  <si>
    <t>The Cannon / Johnson Kidnapping Gang</t>
  </si>
  <si>
    <t>4/1/2002 - CM-S
4/15/2024 - CM-S</t>
  </si>
  <si>
    <t>25701 Line Road</t>
  </si>
  <si>
    <t xml:space="preserve">SC-229 </t>
  </si>
  <si>
    <t>The Studley House</t>
  </si>
  <si>
    <t>38.55382</t>
  </si>
  <si>
    <t>-75.56910</t>
  </si>
  <si>
    <t>220 East 6th Street</t>
  </si>
  <si>
    <t xml:space="preserve">SC-230 </t>
  </si>
  <si>
    <t>The Coursey-Daisey Burial Ground</t>
  </si>
  <si>
    <t>4/8/2022 - CM-S 10/28/2024-CM-S</t>
  </si>
  <si>
    <t>38.74711</t>
  </si>
  <si>
    <t>-75.16697</t>
  </si>
  <si>
    <t>17541 Shady Road</t>
  </si>
  <si>
    <t>https://archives.delaware.gov/delaware-historical-markers/coursey-daisey-burial-ground/</t>
  </si>
  <si>
    <t>https://archives.delaware.gov/wp-content/uploads/sites/156/2022/04/sc_230.jpg</t>
  </si>
  <si>
    <t xml:space="preserve">SC-231 </t>
  </si>
  <si>
    <t>McColley's Chapel</t>
  </si>
  <si>
    <t>4/5/2022 - CM-S 1/8/2024 - CM-S 6/14/2024 - CM-S</t>
  </si>
  <si>
    <t>Sen. Joseph Booth &amp; Rep.  David L. Wilson</t>
  </si>
  <si>
    <t>38.74299</t>
  </si>
  <si>
    <t>-75.43217</t>
  </si>
  <si>
    <t>18168 Redden Road</t>
  </si>
  <si>
    <t>https://archives.delaware.gov/delaware-historical-markers/mccolleys-chapel/</t>
  </si>
  <si>
    <t>https://archives.delaware.gov/wp-content/uploads/sites/156/2019/06/sc-231-2.jpg</t>
  </si>
  <si>
    <t xml:space="preserve">SC-232 </t>
  </si>
  <si>
    <t>Wesley United Methodist Church (Seaford)</t>
  </si>
  <si>
    <t>Rep. Daniel B. "Danny" Short</t>
  </si>
  <si>
    <t>22025 Atlanta Road</t>
  </si>
  <si>
    <t xml:space="preserve">SC-233 </t>
  </si>
  <si>
    <t>Gateway to Freedom: The Tilly Escape</t>
  </si>
  <si>
    <t>4/1/2022 - CM-S
6/13/2023 - CM-S
4/15/2024 - CM-S</t>
  </si>
  <si>
    <t>4/4/22 - CRA</t>
  </si>
  <si>
    <t>120 Front Street</t>
  </si>
  <si>
    <t>https://archives.delaware.gov/delaware-historical-markers/gateway-to-freedom-the-tilly-escape/</t>
  </si>
  <si>
    <t>https://archives.delaware.gov/wp-content/uploads/sites/156/2019/06/sc_233.jpg</t>
  </si>
  <si>
    <t xml:space="preserve">SC-234 </t>
  </si>
  <si>
    <t>The Clayton Theatre</t>
  </si>
  <si>
    <t>Sen. Gerald W. Hocker &amp; Rep. John Atkins, 2014</t>
  </si>
  <si>
    <t>38.55163</t>
  </si>
  <si>
    <t>-75.24733</t>
  </si>
  <si>
    <t>33246 Main Street</t>
  </si>
  <si>
    <t>https://archives.delaware.gov/delaware-historical-markers/clayton-theatre/</t>
  </si>
  <si>
    <t>https://archives.delaware.gov/wp-content/uploads/sites/156/2023/10/sc-234-3.jpg</t>
  </si>
  <si>
    <t xml:space="preserve">SC-235 </t>
  </si>
  <si>
    <t>White's Chapel United Methodist Church</t>
  </si>
  <si>
    <t xml:space="preserve">Sen. Ernesto B. "Ernie" Lopez </t>
  </si>
  <si>
    <t>15373 Coastal Highway</t>
  </si>
  <si>
    <t xml:space="preserve">SC-236 </t>
  </si>
  <si>
    <t>Woodland United Methodist Church</t>
  </si>
  <si>
    <t>4/1/2022 - CM-S 4/19/2023 - CM-S</t>
  </si>
  <si>
    <t>5123 Woodland Church Road</t>
  </si>
  <si>
    <t>https://archives.delaware.gov/delaware-historical-markers/woodland-united-methodist-church/</t>
  </si>
  <si>
    <t>https://archives.delaware.gov/wp-content/uploads/sites/156/2019/06/sc-236-2.jpg</t>
  </si>
  <si>
    <t xml:space="preserve">SC-237 </t>
  </si>
  <si>
    <t>Captain Ebe Chandler House</t>
  </si>
  <si>
    <t>38.51702</t>
  </si>
  <si>
    <t>-75.23343</t>
  </si>
  <si>
    <t>13 Main Street</t>
  </si>
  <si>
    <t xml:space="preserve">SC-238 </t>
  </si>
  <si>
    <t>History of Lake Comegys and Silver Lake</t>
  </si>
  <si>
    <t>4/8/2022 - CM-S 6/8/2023 - CM-S  1/26/2024 - CM-S
1/11/2025 - CM-S</t>
  </si>
  <si>
    <t>Sen. Ernesto C. Lopez &amp; Rep. Peter C. Schwartzkopf</t>
  </si>
  <si>
    <t>38.70675</t>
  </si>
  <si>
    <t>-75.08049</t>
  </si>
  <si>
    <t>20310 Silver Lake Drive</t>
  </si>
  <si>
    <t>See note on Website Marker form. Marker replaced 2022.</t>
  </si>
  <si>
    <t>https://archives.delaware.gov/delaware-historical-markers/history-of-lake-comegys-and-silver-lake/</t>
  </si>
  <si>
    <t>https://archives.delaware.gov/wp-content/uploads/sites/156/2024/03/sc-238-3.jpg</t>
  </si>
  <si>
    <t xml:space="preserve">SC-239 </t>
  </si>
  <si>
    <t>World's First Nylon Plant</t>
  </si>
  <si>
    <t>4/15/2022 - CM-S 7/19/2024 - CM-S</t>
  </si>
  <si>
    <t>38.63513</t>
  </si>
  <si>
    <t>-75.62642</t>
  </si>
  <si>
    <t>385 Woodland Road</t>
  </si>
  <si>
    <t>Replaced 11/2016</t>
  </si>
  <si>
    <t xml:space="preserve">SC-240 </t>
  </si>
  <si>
    <t>Cool Spring Presbyterian Church</t>
  </si>
  <si>
    <t>4/8/2022 - CM-S 8/17/2023 - CM-S
11/3/2023 - CM-S
9/8/2024 - CM-S</t>
  </si>
  <si>
    <t>Sen. Brian G. Pettyjohn &amp; Rep. Stephen T. "Steve" Smyk</t>
  </si>
  <si>
    <t>38.73704</t>
  </si>
  <si>
    <t>-75.23896</t>
  </si>
  <si>
    <t>28842 Log Cabin Hill Road</t>
  </si>
  <si>
    <t>https://archives.delaware.gov/delaware-historical-markers/cool-spring-presbyterian-church/</t>
  </si>
  <si>
    <t>https://archives.delaware.gov/wp-content/uploads/sites/156/2019/06/sc-240-24.jpg</t>
  </si>
  <si>
    <t xml:space="preserve">SC-241 </t>
  </si>
  <si>
    <t>Milton Public School #196-C</t>
  </si>
  <si>
    <t>2/21/2023 - CM-S 3/14/2022 - CM-S</t>
  </si>
  <si>
    <t>Rep. Harvey R. Kenton</t>
  </si>
  <si>
    <t>38.78803</t>
  </si>
  <si>
    <t>-75.31266</t>
  </si>
  <si>
    <t>201 Broadkill Road</t>
  </si>
  <si>
    <t>Marker is labeled "NC-241" - Update marker to change #196-C to 196-C throughout.</t>
  </si>
  <si>
    <t xml:space="preserve">SC-242 </t>
  </si>
  <si>
    <t>Belltown</t>
  </si>
  <si>
    <t xml:space="preserve">SC-243 </t>
  </si>
  <si>
    <t>Beebe Medical Foundation</t>
  </si>
  <si>
    <t>3/16/2022 - CM-S
4/9/2024 - CM-S</t>
  </si>
  <si>
    <t>Sen. Ernesto (Ernie) Lopez &amp; Rep. Peter C. "Pete" Schwartzkopf</t>
  </si>
  <si>
    <t>902 Savannah Road</t>
  </si>
  <si>
    <t>https://archives.delaware.gov/delaware-historical-markers/beebe-medical-foundation/</t>
  </si>
  <si>
    <t>https://archives.delaware.gov/wp-content/uploads/sites/156/2019/06/sc_243.jpg</t>
  </si>
  <si>
    <t xml:space="preserve">SC-244 </t>
  </si>
  <si>
    <t>Mansion Farm: the David Robbins Homestead</t>
  </si>
  <si>
    <t>Sen. Ernesto (Ernie) Lopez &amp; Rep. Stephen T. "Steve" Smyk</t>
  </si>
  <si>
    <t>-75.28938</t>
  </si>
  <si>
    <t>26285 Broadkill Road</t>
  </si>
  <si>
    <t>https://archives.delaware.gov/delaware-historical-markers/mansion-farm-the-david-robbins-homestead/</t>
  </si>
  <si>
    <t>https://archives.delaware.gov/wp-content/uploads/sites/156/2019/06/sc_244.jpg</t>
  </si>
  <si>
    <t xml:space="preserve">SC-245 </t>
  </si>
  <si>
    <t>Temple Lodge No. 9 A.F. &amp; A.M.</t>
  </si>
  <si>
    <t>3/15/2022 -CM-S 5/22/2024 - CM-S</t>
  </si>
  <si>
    <t>Sen. F. Gary Simpson Rep. Harvey Kenton</t>
  </si>
  <si>
    <t>38.91136</t>
  </si>
  <si>
    <t>125 Causey Avenue</t>
  </si>
  <si>
    <t xml:space="preserve">SC-246 </t>
  </si>
  <si>
    <t>Town of Blades</t>
  </si>
  <si>
    <t>4/1/2022 - CM-S 7/19/2024 - CM-S</t>
  </si>
  <si>
    <t>Sen. Robert L. (Bob) Venables &amp; Rep. Daniel B. "Danny" Short</t>
  </si>
  <si>
    <t>38.63789</t>
  </si>
  <si>
    <t>-75.60980</t>
  </si>
  <si>
    <t>Nanticoke Marine Park, 26 Market Street</t>
  </si>
  <si>
    <t>Blades</t>
  </si>
  <si>
    <t xml:space="preserve">SC-247 </t>
  </si>
  <si>
    <t>Woody's Diner</t>
  </si>
  <si>
    <t>4/8/2022 - CM-S 11/7/2024 - CM-S</t>
  </si>
  <si>
    <t>Sen. Gerald W. Hocker and Rep. Richard Collins</t>
  </si>
  <si>
    <t>38.45924</t>
  </si>
  <si>
    <t>-75.23396</t>
  </si>
  <si>
    <t>38218 Dupont Blvd</t>
  </si>
  <si>
    <t>https://archives.delaware.gov/delaware-historical-markers/woodys-diner/</t>
  </si>
  <si>
    <t>https://archives.delaware.gov/wp-content/uploads/sites/156/2019/06/SC_247.jpg</t>
  </si>
  <si>
    <t xml:space="preserve">SC-248 </t>
  </si>
  <si>
    <t>Mt. Calvary African Methodist Episcopal Church (Seaford)</t>
  </si>
  <si>
    <t>4/14/2022 - CM-S 7/19/2024 - CM-S</t>
  </si>
  <si>
    <t>38.64275</t>
  </si>
  <si>
    <t>-75.55948</t>
  </si>
  <si>
    <t xml:space="preserve">25206 School Road </t>
  </si>
  <si>
    <t xml:space="preserve">SC-249 </t>
  </si>
  <si>
    <t>Richard Allen School</t>
  </si>
  <si>
    <t>Sen. Brian Pettyjohn &amp; Rep. Ruth Briggs King</t>
  </si>
  <si>
    <t>38.69026</t>
  </si>
  <si>
    <t>-75.37606</t>
  </si>
  <si>
    <t xml:space="preserve">316 S. Railroad Avenue </t>
  </si>
  <si>
    <t xml:space="preserve"> RichardAllenElementary@yahoo.com (302) 258-7182</t>
  </si>
  <si>
    <t xml:space="preserve">https://archives.delaware.gov/delaware-historical-markers/richard-allen-school/ </t>
  </si>
  <si>
    <t xml:space="preserve">https://archives.delaware.gov/wp-content/uploads/sites/156/2019/06/sc-249-2.jpg </t>
  </si>
  <si>
    <t xml:space="preserve">SC-250 </t>
  </si>
  <si>
    <t>Village Improvement Association</t>
  </si>
  <si>
    <t>Sen. Ernesto B. "Ernie" Lopez, Rep. Peter C. "Pete" Schwartzkopf</t>
  </si>
  <si>
    <t>-75.07712</t>
  </si>
  <si>
    <t>415 N. Boardwalk</t>
  </si>
  <si>
    <t>https://archives.delaware.gov/delaware-historical-markers/village-improvement-association/</t>
  </si>
  <si>
    <t>https://archives.delaware.gov/wp-content/uploads/sites/156/2019/06/sc-250.jpg</t>
  </si>
  <si>
    <t xml:space="preserve">SC-251 </t>
  </si>
  <si>
    <t>Beebe Hospital</t>
  </si>
  <si>
    <t>3/16/2022 - CM-S 8/9/2023 - CM-S
9/3/2024 - CM-S
1/10/2025 - CM-S</t>
  </si>
  <si>
    <t>Sen. Ernesto B. "Ernie" Lopez, Rep. Peter C. "Pete" Schwartzkopf &amp; Rep. Stephen C. "Steve" Smyk</t>
  </si>
  <si>
    <t>-75.14268</t>
  </si>
  <si>
    <t>424 Savannah Road</t>
  </si>
  <si>
    <t>https://archives.delaware.gov/delaware-historical-markers/beebe-hospital/</t>
  </si>
  <si>
    <t>https://archives.delaware.gov/wp-content/uploads/sites/156/2022/05/SC_251.jpg</t>
  </si>
  <si>
    <t xml:space="preserve">SC-252 </t>
  </si>
  <si>
    <t>Transit of Venus Observatory</t>
  </si>
  <si>
    <t>3/16/2022  - CM-S
4/9/2024 - CM-S
9/3/2024 - CM-S</t>
  </si>
  <si>
    <t>4/30/2024 - VLM</t>
  </si>
  <si>
    <t>Sen. Ernesto (Ernie) Lopez</t>
  </si>
  <si>
    <t>38.76977</t>
  </si>
  <si>
    <t>-75.14414</t>
  </si>
  <si>
    <t>611 Savannah Road</t>
  </si>
  <si>
    <t>Bethel Cemetery</t>
  </si>
  <si>
    <t>https://archives.delaware.gov/delaware-historical-markers/transit-of-venus-observatory/</t>
  </si>
  <si>
    <t>https://archives.delaware.gov/wp-content/uploads/sites/156/2019/06/sc-252-24.jpg</t>
  </si>
  <si>
    <t xml:space="preserve">SC-253 </t>
  </si>
  <si>
    <t>Blackwater Colored School</t>
  </si>
  <si>
    <t>Sen. Gerald W. Hocker &amp; Rep. Ronald "Ron" E. Gray</t>
  </si>
  <si>
    <t>38.54539</t>
  </si>
  <si>
    <t>-75.14706</t>
  </si>
  <si>
    <t xml:space="preserve">SC-254 </t>
  </si>
  <si>
    <t>John Sudler Isaacs</t>
  </si>
  <si>
    <t>3/4/2022 - CM-S</t>
  </si>
  <si>
    <t xml:space="preserve">11165 Cedar Creek Road </t>
  </si>
  <si>
    <t xml:space="preserve">SC-255 </t>
  </si>
  <si>
    <t>The Vinyard Shipbuilding Company</t>
  </si>
  <si>
    <t>4/5/2022 - CM-S 11/29/2023 - CM-S 5/22/2024 - CM-S</t>
  </si>
  <si>
    <t>Sen. F. Gary Simpson Rep. Harvey R. Kenton</t>
  </si>
  <si>
    <t>10 Columbia St</t>
  </si>
  <si>
    <t>Vinyard Shipbuilding Company</t>
  </si>
  <si>
    <t>https://archives.delaware.gov/delaware-historical-markers/vinyard-shipbuilding/</t>
  </si>
  <si>
    <t>https://archives.delaware.gov/wp-content/uploads/sites/156/2019/06/sc-255.jpg</t>
  </si>
  <si>
    <t xml:space="preserve">SC-256 </t>
  </si>
  <si>
    <t>Hebron Methodist Protestant (M.P) Church</t>
  </si>
  <si>
    <t>3/13/2022 - CM-S 5/4/2023 - CM-S 7/19/2024 - CM-S</t>
  </si>
  <si>
    <t>Rep. David L. Wilson</t>
  </si>
  <si>
    <t>38.69812</t>
  </si>
  <si>
    <t>-75.42856</t>
  </si>
  <si>
    <t>18282 Seashore Hwy</t>
  </si>
  <si>
    <t>https://archives.delaware.gov/delaware-historical-markers/hebron-methodist-protestant-m-p-church/</t>
  </si>
  <si>
    <t>https://archives.delaware.gov/wp-content/uploads/sites/156/2019/06/sc-256.jpg</t>
  </si>
  <si>
    <t xml:space="preserve">SC-257 </t>
  </si>
  <si>
    <t>Town of Bethel</t>
  </si>
  <si>
    <t>3/29/2022 - CM-S 7/19/2024 - CM-S
12/26/2024 - CM-S
1/8/2025 - CM-S</t>
  </si>
  <si>
    <t>7750 Main Street</t>
  </si>
  <si>
    <t>https://archives.delaware.gov/delaware-historical-markers/town-of-bethel/</t>
  </si>
  <si>
    <t>https://archives.delaware.gov/wp-content/uploads/sites/156/2025/12/sc-257-25.jpg</t>
  </si>
  <si>
    <t xml:space="preserve">SC-258 </t>
  </si>
  <si>
    <t>St George African Methodist Episcopal (AME) Church and Cemetery</t>
  </si>
  <si>
    <t xml:space="preserve"> 8/23/2023 - CM-S 2/15/2024 - CM-S
4/9/2024 - CM-S
9/3/2024 - CM-S</t>
  </si>
  <si>
    <t>Sen. Ernesto B. "Ernie" Lopez, and Rep. Stephen T. "Steve" Smyk</t>
  </si>
  <si>
    <t>38.77922</t>
  </si>
  <si>
    <t>391 Pilottown Road</t>
  </si>
  <si>
    <t xml:space="preserve">SC-259 </t>
  </si>
  <si>
    <t>St. Stephen's United Methodist Church</t>
  </si>
  <si>
    <t>101 East State Street</t>
  </si>
  <si>
    <t>https://archives.delaware.gov/delaware-historical-markers/st-stephens-united-methodist-church/</t>
  </si>
  <si>
    <t>https://archives.delaware.gov/wp-content/uploads/sites/156/2019/06/sc_259-2.jpg</t>
  </si>
  <si>
    <t xml:space="preserve">SC-260 </t>
  </si>
  <si>
    <t>Hiram Lodge No. 21 A.F. &amp; A.M.</t>
  </si>
  <si>
    <t>4/1/2022 - CM-S
 6-13-2023 - CM-S
4/15/2024 - CM-S</t>
  </si>
  <si>
    <t>306 High Street</t>
  </si>
  <si>
    <t xml:space="preserve">SC-261 </t>
  </si>
  <si>
    <t>Stockley Tavern</t>
  </si>
  <si>
    <t>Sen. Brian G. Pettyjohn &amp; Rep. Ruth Briggs King</t>
  </si>
  <si>
    <t>26072 DuPont Blvd.</t>
  </si>
  <si>
    <t>https://archives.delaware.gov/delaware-historical-markers/stockley-tavern/</t>
  </si>
  <si>
    <t>https://archives.delaware.gov/wp-content/uploads/sites/156/2019/06/sc_261.jpg</t>
  </si>
  <si>
    <t xml:space="preserve">SC-262 </t>
  </si>
  <si>
    <t>Rehoboth Beach Public Library</t>
  </si>
  <si>
    <t xml:space="preserve"> 12/13/2022 - CM-S
7/12/2023 - CM-S 1/26/2024 - CM-S
1/11/2025 - CM-S</t>
  </si>
  <si>
    <t>Sen. Ernesto B. Lopez, Rep. Peter C. "Pete" Schwartzkopf</t>
  </si>
  <si>
    <t>38.71573</t>
  </si>
  <si>
    <t>-75.08309</t>
  </si>
  <si>
    <t>226 Rehoboth Ave</t>
  </si>
  <si>
    <t>https://archives.delaware.gov/delaware-historical-markers/rehoboth-beach-public-library/</t>
  </si>
  <si>
    <t>https://archives.delaware.gov/wp-content/uploads/sites/156/2019/06/sc_262.jpg</t>
  </si>
  <si>
    <t xml:space="preserve">SC-263 </t>
  </si>
  <si>
    <t>Georgetown Speedway</t>
  </si>
  <si>
    <t>4/5/2022 - CM-S</t>
  </si>
  <si>
    <t>22206 Speedway Road</t>
  </si>
  <si>
    <t xml:space="preserve">SC-264 </t>
  </si>
  <si>
    <t>Bethel Community House</t>
  </si>
  <si>
    <t>3/29/2022 - CM-S 7/19/2024 - CM-S
1/8/2025 - CM-S</t>
  </si>
  <si>
    <t>38.57254</t>
  </si>
  <si>
    <t>7769 Main Street</t>
  </si>
  <si>
    <t xml:space="preserve">SC-265 </t>
  </si>
  <si>
    <t>Children's Fishing Pier</t>
  </si>
  <si>
    <t>4/8/2022 - CM-S 7/13/2023 - CM-S 1/26/2024 - CM-S
1/11/2025 - CM-S</t>
  </si>
  <si>
    <t>212 N. 1st Street</t>
  </si>
  <si>
    <t>Village Improvement Association, Kate McKenzie mckenziekate@comcast.net 302-362-3905</t>
  </si>
  <si>
    <t>Work will be happending to the pier very soon as engineers deemed it necessary. 12/21/2023</t>
  </si>
  <si>
    <t xml:space="preserve">SC-266 </t>
  </si>
  <si>
    <t>Rabbit's Ferry School 201-C</t>
  </si>
  <si>
    <t>Sen. Ernesto B. "Ernie" Lopez, Rep. Peter C. "Pete" Schwartzkopf, and Rep. Stephen T. "Steve" Smyk</t>
  </si>
  <si>
    <t>38.71706</t>
  </si>
  <si>
    <t>-75.18999</t>
  </si>
  <si>
    <t>19112 Robinsonville Road</t>
  </si>
  <si>
    <t>https://archives.delaware.gov/delaware-historical-markers/rabbits-ferry-school-201-c/</t>
  </si>
  <si>
    <t>https://archives.delaware.gov/wp-content/uploads/sites/156/2019/06/sc_266.jpg</t>
  </si>
  <si>
    <t xml:space="preserve">SC-267 </t>
  </si>
  <si>
    <t>Milton Theatre</t>
  </si>
  <si>
    <t>3/30/2022 - CM-S 5/15/2023 - CM-S
1/8/2025 - CM-S</t>
  </si>
  <si>
    <t>Sen. Ernesto B. "Ernie" Lopez, &amp; Rep. Stephen T. "Steve" Smyk</t>
  </si>
  <si>
    <t>38.77830</t>
  </si>
  <si>
    <t>110 Union Street</t>
  </si>
  <si>
    <t>https://archives.delaware.gov/delaware-historical-markers/milton-theatre/</t>
  </si>
  <si>
    <t>https://archives.delaware.gov/wp-content/uploads/sites/156/2019/06/sc-267.jpg</t>
  </si>
  <si>
    <t>SC-268</t>
  </si>
  <si>
    <t>Jack Lewis</t>
  </si>
  <si>
    <t>Sen. Brian G. Pettyjohn &amp; Rep. David L. Wilson</t>
  </si>
  <si>
    <t>600 South Cannon Street</t>
  </si>
  <si>
    <t xml:space="preserve">SC-269 </t>
  </si>
  <si>
    <t>Seaford High School</t>
  </si>
  <si>
    <t>500 East Stein Highway</t>
  </si>
  <si>
    <t xml:space="preserve">SC-270 </t>
  </si>
  <si>
    <t>Frederick Douglass School</t>
  </si>
  <si>
    <t>4/14/2022 - CM-S 6/14/2024 - CM-S</t>
  </si>
  <si>
    <t>1 Swain Road</t>
  </si>
  <si>
    <t>https://archives.delaware.gov/delaware-historical-markers/frederick-douglass-school/</t>
  </si>
  <si>
    <t>https://archives.delaware.gov/wp-content/uploads/sites/156/2019/06/sc-270-25.jpg</t>
  </si>
  <si>
    <t xml:space="preserve">SC-271 </t>
  </si>
  <si>
    <t>Israel United Methodist Church</t>
  </si>
  <si>
    <t xml:space="preserve">4/8/2022 - CM-S </t>
  </si>
  <si>
    <t>Sen. Ernesto B. "Ernie" Lopez &amp; Rep. Peter C. "Pete" Schwartzkopf</t>
  </si>
  <si>
    <t>20230 Plantation Road</t>
  </si>
  <si>
    <t xml:space="preserve">SC-272 </t>
  </si>
  <si>
    <t>Seaford District Library</t>
  </si>
  <si>
    <t>600 North Market Street Ext.</t>
  </si>
  <si>
    <t xml:space="preserve">SC-273 </t>
  </si>
  <si>
    <t>Acorn Club of Seaford</t>
  </si>
  <si>
    <t>38.65647</t>
  </si>
  <si>
    <t xml:space="preserve">SC-274 </t>
  </si>
  <si>
    <t>Paul Laurence Dunbar School</t>
  </si>
  <si>
    <t>499 West 6th Street</t>
  </si>
  <si>
    <t>https://archives.delaware.gov/delaware-historical-markers/paul-laurence-dunbar-school/</t>
  </si>
  <si>
    <t>https://archives.delaware.gov/wp-content/uploads/sites/156/2022/03/sc_274.jpg</t>
  </si>
  <si>
    <t xml:space="preserve">SC-275 </t>
  </si>
  <si>
    <t>Mount Pleasant United Methodist Church (Rehoboth)</t>
  </si>
  <si>
    <t>1/26/2024 - CM-S</t>
  </si>
  <si>
    <t>19940 Church Street</t>
  </si>
  <si>
    <t xml:space="preserve">SC-276 </t>
  </si>
  <si>
    <t xml:space="preserve">SC-277 </t>
  </si>
  <si>
    <t>Woodland School</t>
  </si>
  <si>
    <t>4/14/2022 - CM-S 4/19/2023 - CM-S
10/8/2024 - CM-S</t>
  </si>
  <si>
    <t>4/20/2023 - CM-S</t>
  </si>
  <si>
    <t>27866 Woodland Road</t>
  </si>
  <si>
    <t>https://archives.delaware.gov/delaware-historical-markers/woodland-school/</t>
  </si>
  <si>
    <t>https://archives.delaware.gov/wp-content/uploads/sites/156/2019/06/sc-277.jpg</t>
  </si>
  <si>
    <t xml:space="preserve">SC-278 </t>
  </si>
  <si>
    <t>Delaware International Speedway</t>
  </si>
  <si>
    <t>4/14/2022 - CM-S 11/7/2024 - CM-S</t>
  </si>
  <si>
    <t>37854 Sussex Highway</t>
  </si>
  <si>
    <t xml:space="preserve">SC-279 </t>
  </si>
  <si>
    <t>Elizabeth Smith-Cornish</t>
  </si>
  <si>
    <t>3/15/2022 - CM-S 8/23/2023 - CM-S</t>
  </si>
  <si>
    <t>Sen. Brian Pettyjohn &amp; Rep. Jesse Vanderwende</t>
  </si>
  <si>
    <t>-75.59266</t>
  </si>
  <si>
    <t>100 Elizabeth Cornish Landing</t>
  </si>
  <si>
    <t>https://archives.delaware.gov/delaware-historical-markers/elizabeth-smith-cornish/</t>
  </si>
  <si>
    <t>https://archives.delaware.gov/wp-content/uploads/sites/156/2022/03/sc-279.jpg</t>
  </si>
  <si>
    <t xml:space="preserve">SC-280 </t>
  </si>
  <si>
    <t>Askekesky (Acksquessance)</t>
  </si>
  <si>
    <t>4/01/2022 - CM-S 2/15/2024 - CM-S 11/7/2024 - CM-S</t>
  </si>
  <si>
    <t>Native American</t>
  </si>
  <si>
    <t>Sen. Gerald W. Hocker, Rep. Ruth Briggs King, Rep. Richard Collins</t>
  </si>
  <si>
    <t>-75.28875</t>
  </si>
  <si>
    <t>346 Morris Street</t>
  </si>
  <si>
    <t>Cupola Park</t>
  </si>
  <si>
    <t xml:space="preserve">https://archives.delaware.gov/delaware-historical-markers/askekesky-acksquessance/ </t>
  </si>
  <si>
    <t xml:space="preserve">https://archives.delaware.gov/wp-content/uploads/sites/156/2019/06/sc_280-2.jpg </t>
  </si>
  <si>
    <t xml:space="preserve">SC-281 </t>
  </si>
  <si>
    <t>Cape Henlopen Lighthouse Replica</t>
  </si>
  <si>
    <t>4/8/2022 - CM-S 7/13/2023 - CM-S 1/26/2024 -CM-S
1/11/2025 - CM-S</t>
  </si>
  <si>
    <t>Lighthouse Park</t>
  </si>
  <si>
    <t>https://archives.delaware.gov/delaware-historical-markers/cape-henlopen-lighthouse-replica/</t>
  </si>
  <si>
    <t>https://archives.delaware.gov/wp-content/uploads/sites/156/2019/06/sc-281-24.jpg</t>
  </si>
  <si>
    <t xml:space="preserve">SC-282 </t>
  </si>
  <si>
    <t>Soroptimist International of Seaford</t>
  </si>
  <si>
    <t>4/14/2022 - CM-S
10/3/2023 - CM-S</t>
  </si>
  <si>
    <t>1100 Middleford Road</t>
  </si>
  <si>
    <t>https://archives.delaware.gov/delaware-historical-markers/soroptimist-international-of-seaford/</t>
  </si>
  <si>
    <t>https://archives.delaware.gov/wp-content/uploads/sites/156/2019/06/sc-282-24.jpg</t>
  </si>
  <si>
    <t xml:space="preserve">SC-283 </t>
  </si>
  <si>
    <t>Indian Mission School</t>
  </si>
  <si>
    <t>Sen. Gerald W. Hocker, Sen. Richard G. Collins, and  Rep Ruth Briggs King</t>
  </si>
  <si>
    <t>27073 John J Williams Highway</t>
  </si>
  <si>
    <t>https://archives.delaware.gov/delaware-historical-markers/indian-mission-school/</t>
  </si>
  <si>
    <t>https://archives.delaware.gov/wp-content/uploads/sites/156/2019/06/sc-283.jpg</t>
  </si>
  <si>
    <t xml:space="preserve">SC-284 </t>
  </si>
  <si>
    <t>Women's Suffrage in Delaware</t>
  </si>
  <si>
    <t>8/17/2022 - CM-S 7/19/2024 - CM-S 11/1/2024-CM-S</t>
  </si>
  <si>
    <t>1 The Circle</t>
  </si>
  <si>
    <t>https://archives.delaware.gov/delaware-historical-markers/womens-suffrage-in-delaware/</t>
  </si>
  <si>
    <t>https://archives.delaware.gov/wp-content/uploads/sites/156/2019/06/sc-284-24.jpg</t>
  </si>
  <si>
    <t xml:space="preserve">SC-285 </t>
  </si>
  <si>
    <t>Surf Safety Line</t>
  </si>
  <si>
    <t>11/15/2022 - CM-S 7/12/2023 - CM-S
1/26/2024 - CM-S
1/11/2025 - CM-S</t>
  </si>
  <si>
    <t>Sen. Ernesto B. "Ernie" Lopez and Rep. Peter C. "Pete" Schwartzkopf</t>
  </si>
  <si>
    <t>1 Rehoboth Ave</t>
  </si>
  <si>
    <t>https://archives.delaware.gov/delaware-historical-markers/surf-safety-line/</t>
  </si>
  <si>
    <t>https://archives.delaware.gov/wp-content/uploads/sites/156/2019/06/sc-285-24.jpg</t>
  </si>
  <si>
    <t xml:space="preserve">SC-286 </t>
  </si>
  <si>
    <t>Rehoboth Beach Patrol</t>
  </si>
  <si>
    <t>8/5/2025 - VLM</t>
  </si>
  <si>
    <t>38.71755</t>
  </si>
  <si>
    <t>-75.07669</t>
  </si>
  <si>
    <t>1 Baltimore Ave</t>
  </si>
  <si>
    <t>Marker was completed in 2022 but building construction stalled. Building complete May 2025.</t>
  </si>
  <si>
    <t xml:space="preserve">SC-287 </t>
  </si>
  <si>
    <t>Jason Beach</t>
  </si>
  <si>
    <t>1/23/2023 - CM-S</t>
  </si>
  <si>
    <t>38.52521</t>
  </si>
  <si>
    <t>-75.47136</t>
  </si>
  <si>
    <t>15702 Road 450</t>
  </si>
  <si>
    <t>https://archives.delaware.gov/delaware-historical-markers/jason-beach/</t>
  </si>
  <si>
    <t>https://archives.delaware.gov/wp-content/uploads/sites/156/2019/06/sc-287.jpg</t>
  </si>
  <si>
    <t xml:space="preserve">SC-288 </t>
  </si>
  <si>
    <t>Block House Pond</t>
  </si>
  <si>
    <t>3/16/2022 - CM-S 8/11/2023 - CM-S
4/9/2024 - CM-S</t>
  </si>
  <si>
    <t>Rep. Stephen T. "Steve" Smyk</t>
  </si>
  <si>
    <t>38.77350</t>
  </si>
  <si>
    <t>422 Johnson Avnue</t>
  </si>
  <si>
    <t>https://archives.delaware.gov/delaware-historical-markers/block-house-pond/</t>
  </si>
  <si>
    <t>https://archives.delaware.gov/wp-content/uploads/sites/156/2019/06/sc-288.jpg</t>
  </si>
  <si>
    <t>SC-289</t>
  </si>
  <si>
    <t>Poodle Beach</t>
  </si>
  <si>
    <t>SC-289 - Poodle Beach</t>
  </si>
  <si>
    <t xml:space="preserve">SC-A1 </t>
  </si>
  <si>
    <t>Ryves Holt House</t>
  </si>
  <si>
    <t>-75.14110</t>
  </si>
  <si>
    <t>218 2nd Street</t>
  </si>
  <si>
    <t xml:space="preserve">SC-A2 </t>
  </si>
  <si>
    <t>Old Court House</t>
  </si>
  <si>
    <t xml:space="preserve"> 2/14/2024 - CM-S
4/9/2024 - CM-S
9/3/2024 - CM-S
1/11/2025 - CM-S</t>
  </si>
  <si>
    <t>38.77572</t>
  </si>
  <si>
    <t>-75.14071</t>
  </si>
  <si>
    <t>200 Second Street</t>
  </si>
  <si>
    <t>Wheelers Park</t>
  </si>
  <si>
    <t>Enslaved Africans Arrive at New Amstel</t>
  </si>
  <si>
    <t>Ogletown</t>
  </si>
  <si>
    <t>Escaping Slavery on the C &amp; D Canal</t>
  </si>
  <si>
    <t>Zion Church (Wilmington)</t>
  </si>
  <si>
    <t>Nicholas Fidance</t>
  </si>
  <si>
    <t>Ardencroft</t>
  </si>
  <si>
    <t>Mason - Dixon Stone Marker #79</t>
  </si>
  <si>
    <t>Fort Delaware</t>
  </si>
  <si>
    <t>Williamsville Colored School</t>
  </si>
  <si>
    <t>Bronze</t>
  </si>
  <si>
    <t>Peter Lewis</t>
  </si>
  <si>
    <t>2024 Color Code Key</t>
  </si>
  <si>
    <t>Marker is finalized with Research Room assets broken out into individual documents instead of 1 combined</t>
  </si>
  <si>
    <t>Unassigned, can be used</t>
  </si>
  <si>
    <t>Sent for Destruction, Should be replaced</t>
  </si>
  <si>
    <t>Marker ID Renumbered / Renamed</t>
  </si>
  <si>
    <t>Missing. Note white font means the marker is finalized with Research Room assets broken out into indivual documents instead of 1 combined.</t>
  </si>
  <si>
    <t>Greenwood School 222-C</t>
  </si>
  <si>
    <t xml:space="preserve">School </t>
  </si>
  <si>
    <t>Mount Joy United Methodist Church</t>
  </si>
  <si>
    <t>NCC-179 - Mount Joy United Methodist Church</t>
  </si>
  <si>
    <t>2/11/2026 - VLM</t>
  </si>
  <si>
    <t>St. John African Methodist Church</t>
  </si>
  <si>
    <t>Star Hill A.M.E. Church</t>
  </si>
  <si>
    <t>William W.M. Henry Comprehensive High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</si>
</sst>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8"/>
      <name val="Calibri"/>
      <family val="2"/>
      <scheme val="minor"/>
    </font>
    <font>
      <sz val="12"/>
      <color rgb="FF333333"/>
      <name val="Verdana"/>
      <family val="2"/>
    </font>
    <font>
      <sz val="12"/>
      <color theme="1"/>
      <name val="Verdana"/>
      <family val="2"/>
    </font>
    <font>
      <b/>
      <sz val="12"/>
      <color theme="1"/>
      <name val="Verdana"/>
      <family val="2"/>
    </font>
    <font>
      <sz val="12"/>
      <color rgb="FF000000"/>
      <name val="Verdana"/>
      <family val="2"/>
    </font>
    <font>
      <b/>
      <sz val="12"/>
      <color rgb="FFFF0000"/>
      <name val="Verdana"/>
      <family val="2"/>
    </font>
    <font>
      <sz val="12"/>
      <color rgb="FFFF0000"/>
      <name val="Verdana"/>
      <family val="2"/>
    </font>
    <font>
      <b/>
      <sz val="11"/>
      <color theme="1"/>
      <name val="Verdana"/>
      <family val="2"/>
    </font>
    <font>
      <sz val="11"/>
      <color theme="1"/>
      <name val="Verdana"/>
      <family val="2"/>
    </font>
    <font>
      <b/>
      <sz val="11"/>
      <color rgb="FFFF0000"/>
      <name val="Verdana"/>
      <family val="2"/>
    </font>
    <font>
      <u/>
      <sz val="11"/>
      <color theme="10"/>
      <name val="Calibri"/>
      <family val="2"/>
      <scheme val="minor"/>
    </font>
    <font>
      <b/>
      <sz val="10"/>
      <color theme="1"/>
      <name val="Verdana"/>
      <family val="2"/>
    </font>
    <font>
      <sz val="10"/>
      <color theme="1"/>
      <name val="Verdana"/>
      <family val="2"/>
    </font>
    <font>
      <sz val="10"/>
      <color rgb="FFFF0000"/>
      <name val="Verdana"/>
      <family val="2"/>
    </font>
    <font>
      <b/>
      <sz val="10"/>
      <color rgb="FFFF0000"/>
      <name val="Verdana"/>
      <family val="2"/>
    </font>
    <font>
      <sz val="11"/>
      <color rgb="FFFF0000"/>
      <name val="Verdana"/>
      <family val="2"/>
    </font>
    <font>
      <sz val="13"/>
      <color theme="1"/>
      <name val="Calibri"/>
      <family val="2"/>
      <scheme val="minor"/>
    </font>
    <font>
      <b/>
      <sz val="13"/>
      <color theme="1"/>
      <name val="Calibri"/>
      <family val="2"/>
      <scheme val="minor"/>
    </font>
    <font>
      <b/>
      <sz val="13"/>
      <color rgb="FFFF0000"/>
      <name val="Calibri"/>
      <family val="2"/>
      <scheme val="minor"/>
    </font>
    <font>
      <sz val="12"/>
      <color theme="0"/>
      <name val="Verdana"/>
      <family val="2"/>
    </font>
    <font>
      <b/>
      <sz val="12"/>
      <color theme="0"/>
      <name val="Verdana"/>
      <family val="2"/>
    </font>
    <font>
      <sz val="11"/>
      <color theme="0"/>
      <name val="Verdana"/>
      <family val="2"/>
    </font>
    <font>
      <sz val="10"/>
      <color theme="0"/>
      <name val="Verdana"/>
      <family val="2"/>
    </font>
    <font>
      <b/>
      <sz val="12"/>
      <color theme="0"/>
      <name val="Verdana"/>
      <family val="2"/>
    </font>
    <font>
      <b/>
      <sz val="11"/>
      <color theme="0"/>
      <name val="Verdana"/>
      <family val="2"/>
    </font>
    <font>
      <b/>
      <sz val="10"/>
      <color theme="0"/>
      <name val="Verdana"/>
      <family val="2"/>
    </font>
    <font>
      <b/>
      <u/>
      <sz val="11"/>
      <color theme="0"/>
      <name val="Calibri"/>
      <family val="2"/>
      <scheme val="minor"/>
    </font>
    <font>
      <b/>
      <u/>
      <sz val="12"/>
      <color theme="0"/>
      <name val="Verdana"/>
      <family val="2"/>
    </font>
    <font>
      <b/>
      <sz val="11"/>
      <color theme="0"/>
      <name val="Calibri"/>
      <family val="2"/>
      <scheme val="minor"/>
    </font>
    <font>
      <b/>
      <sz val="12"/>
      <color theme="0" tint="-4.9989318521683403E-2"/>
      <name val="Verdana"/>
      <family val="2"/>
    </font>
    <font>
      <b/>
      <sz val="11"/>
      <color theme="0" tint="-4.9989318521683403E-2"/>
      <name val="Verdana"/>
      <family val="2"/>
    </font>
    <font>
      <b/>
      <sz val="10"/>
      <color theme="0" tint="-4.9989318521683403E-2"/>
      <name val="Verdana"/>
      <family val="2"/>
    </font>
    <font>
      <b/>
      <u/>
      <sz val="11"/>
      <color theme="0" tint="-4.9989318521683403E-2"/>
      <name val="Calibri"/>
      <family val="2"/>
      <scheme val="minor"/>
    </font>
    <font>
      <b/>
      <sz val="12"/>
      <color theme="0"/>
      <name val="Verdana"/>
      <family val="2"/>
    </font>
    <font>
      <b/>
      <u/>
      <sz val="11"/>
      <color theme="10"/>
      <name val="Calibri"/>
      <family val="2"/>
      <scheme val="minor"/>
    </font>
    <font>
      <b/>
      <sz val="12"/>
      <color theme="0"/>
      <name val="Segoe UI Historic"/>
      <family val="2"/>
    </font>
    <font>
      <sz val="12"/>
      <name val="Verdana"/>
      <family val="2"/>
    </font>
    <font>
      <b/>
      <sz val="12"/>
      <name val="Verdana"/>
      <family val="2"/>
    </font>
    <font>
      <sz val="10"/>
      <name val="Verdana"/>
      <family val="2"/>
    </font>
    <font>
      <sz val="11"/>
      <name val="Verdana"/>
      <family val="2"/>
    </font>
    <font>
      <b/>
      <sz val="11"/>
      <color theme="1"/>
      <name val="Calibri"/>
      <family val="2"/>
      <scheme val="minor"/>
    </font>
    <font>
      <b/>
      <sz val="10"/>
      <name val="Verdana"/>
      <family val="2"/>
    </font>
  </fonts>
  <fills count="12">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rgb="FFFF0000"/>
        <bgColor indexed="64"/>
      </patternFill>
    </fill>
    <fill>
      <patternFill patternType="solid">
        <fgColor rgb="FFFF00FF"/>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rgb="FF7030A0"/>
        <bgColor indexed="64"/>
      </patternFill>
    </fill>
    <fill>
      <patternFill patternType="solid">
        <fgColor theme="9" tint="0.79998168889431442"/>
        <bgColor indexed="64"/>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62">
    <xf numFmtId="0" fontId="0" fillId="0" borderId="0" xfId="0"/>
    <xf numFmtId="0" fontId="4" fillId="0" borderId="0" xfId="0" applyFont="1" applyAlignment="1">
      <alignment vertical="top" wrapText="1"/>
    </xf>
    <xf numFmtId="0" fontId="4" fillId="0" borderId="0" xfId="0" applyFont="1" applyAlignment="1">
      <alignment horizontal="center" vertical="top" wrapText="1"/>
    </xf>
    <xf numFmtId="0" fontId="3" fillId="0" borderId="0" xfId="0" applyFont="1" applyAlignment="1">
      <alignment vertical="top" wrapText="1"/>
    </xf>
    <xf numFmtId="14" fontId="3" fillId="0" borderId="0" xfId="0" applyNumberFormat="1" applyFont="1" applyAlignment="1">
      <alignment vertical="top" wrapText="1"/>
    </xf>
    <xf numFmtId="0" fontId="3" fillId="0" borderId="0" xfId="0" applyFont="1" applyAlignment="1">
      <alignment vertical="top"/>
    </xf>
    <xf numFmtId="0" fontId="7" fillId="0" borderId="0" xfId="0" applyFont="1" applyAlignment="1">
      <alignment vertical="top" wrapText="1"/>
    </xf>
    <xf numFmtId="0" fontId="6" fillId="0" borderId="0" xfId="0" applyFont="1" applyAlignment="1">
      <alignment vertical="top" wrapText="1"/>
    </xf>
    <xf numFmtId="0" fontId="3" fillId="0" borderId="0" xfId="0" applyFont="1" applyAlignment="1">
      <alignment horizontal="center" vertical="top" wrapText="1"/>
    </xf>
    <xf numFmtId="49" fontId="3" fillId="0" borderId="0" xfId="0" applyNumberFormat="1" applyFont="1" applyAlignment="1">
      <alignment horizontal="center" vertical="top" wrapText="1"/>
    </xf>
    <xf numFmtId="0" fontId="3" fillId="0" borderId="0" xfId="0" applyFont="1" applyAlignment="1">
      <alignment horizontal="center" vertical="top"/>
    </xf>
    <xf numFmtId="14" fontId="3" fillId="0" borderId="0" xfId="0" applyNumberFormat="1" applyFont="1" applyAlignment="1">
      <alignment horizontal="center" vertical="center" wrapText="1"/>
    </xf>
    <xf numFmtId="0" fontId="7" fillId="0" borderId="0" xfId="0" applyFont="1" applyAlignment="1">
      <alignment horizontal="center" vertical="top" wrapText="1"/>
    </xf>
    <xf numFmtId="0" fontId="3" fillId="3" borderId="0" xfId="0" applyFont="1" applyFill="1" applyAlignment="1">
      <alignment vertical="top" wrapText="1"/>
    </xf>
    <xf numFmtId="0" fontId="3" fillId="5" borderId="0" xfId="0" applyFont="1" applyFill="1" applyAlignment="1">
      <alignment vertical="top" wrapText="1"/>
    </xf>
    <xf numFmtId="0" fontId="3" fillId="5" borderId="0" xfId="0" applyFont="1" applyFill="1" applyAlignment="1">
      <alignment horizontal="center" vertical="top" wrapText="1"/>
    </xf>
    <xf numFmtId="14" fontId="3" fillId="5" borderId="0" xfId="0" applyNumberFormat="1" applyFont="1" applyFill="1" applyAlignment="1">
      <alignment vertical="top"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9" fillId="5" borderId="0" xfId="0" applyFont="1" applyFill="1" applyAlignment="1">
      <alignment horizontal="center" vertical="top" wrapText="1"/>
    </xf>
    <xf numFmtId="0" fontId="3" fillId="6" borderId="0" xfId="0" applyFont="1" applyFill="1" applyAlignment="1">
      <alignment vertical="top" wrapText="1"/>
    </xf>
    <xf numFmtId="0" fontId="13" fillId="0" borderId="0" xfId="0" applyFont="1" applyAlignment="1">
      <alignment horizontal="center" vertical="top" wrapText="1"/>
    </xf>
    <xf numFmtId="0" fontId="13" fillId="5" borderId="0" xfId="0" applyFont="1" applyFill="1" applyAlignment="1">
      <alignment horizontal="center" vertical="top" wrapText="1"/>
    </xf>
    <xf numFmtId="0" fontId="14" fillId="0" borderId="0" xfId="0" applyFont="1" applyAlignment="1">
      <alignment horizontal="center" vertical="top" wrapText="1"/>
    </xf>
    <xf numFmtId="0" fontId="15" fillId="0" borderId="0" xfId="0" applyFont="1" applyAlignment="1">
      <alignment horizontal="center" vertical="top" wrapText="1"/>
    </xf>
    <xf numFmtId="0" fontId="16" fillId="0" borderId="0" xfId="0" applyFont="1" applyAlignment="1">
      <alignment horizontal="center" vertical="top" wrapText="1"/>
    </xf>
    <xf numFmtId="49" fontId="8" fillId="0" borderId="0" xfId="0" applyNumberFormat="1" applyFont="1" applyAlignment="1">
      <alignment horizontal="center" vertical="top" wrapText="1"/>
    </xf>
    <xf numFmtId="49" fontId="9" fillId="0" borderId="0" xfId="0" applyNumberFormat="1" applyFont="1" applyAlignment="1">
      <alignment horizontal="center" vertical="top" wrapText="1"/>
    </xf>
    <xf numFmtId="49" fontId="9" fillId="5" borderId="0" xfId="0" applyNumberFormat="1" applyFont="1" applyFill="1" applyAlignment="1">
      <alignment horizontal="center" vertical="top" wrapText="1"/>
    </xf>
    <xf numFmtId="0" fontId="9" fillId="0" borderId="0" xfId="0" applyFont="1" applyAlignment="1">
      <alignment vertical="top" wrapText="1"/>
    </xf>
    <xf numFmtId="0" fontId="9" fillId="5" borderId="0" xfId="0" applyFont="1" applyFill="1" applyAlignment="1">
      <alignment vertical="top" wrapText="1"/>
    </xf>
    <xf numFmtId="0" fontId="8" fillId="0" borderId="0" xfId="0" applyFont="1" applyAlignment="1">
      <alignment vertical="top" wrapText="1"/>
    </xf>
    <xf numFmtId="0" fontId="4" fillId="0" borderId="0" xfId="0" applyFont="1" applyAlignment="1">
      <alignment vertical="top"/>
    </xf>
    <xf numFmtId="0" fontId="3" fillId="5" borderId="0" xfId="0" applyFont="1" applyFill="1" applyAlignment="1">
      <alignment vertical="top"/>
    </xf>
    <xf numFmtId="49" fontId="3" fillId="0" borderId="0" xfId="0" applyNumberFormat="1" applyFont="1" applyAlignment="1">
      <alignment horizontal="center" vertical="top"/>
    </xf>
    <xf numFmtId="0" fontId="17" fillId="0" borderId="0" xfId="0" applyFont="1"/>
    <xf numFmtId="0" fontId="17" fillId="5" borderId="0" xfId="0" applyFont="1" applyFill="1"/>
    <xf numFmtId="0" fontId="18" fillId="0" borderId="0" xfId="0" applyFont="1" applyAlignment="1">
      <alignment wrapText="1"/>
    </xf>
    <xf numFmtId="0" fontId="17" fillId="0" borderId="0" xfId="0" applyFont="1" applyAlignment="1">
      <alignment wrapText="1"/>
    </xf>
    <xf numFmtId="0" fontId="0" fillId="0" borderId="0" xfId="0" applyAlignment="1">
      <alignment wrapText="1"/>
    </xf>
    <xf numFmtId="0" fontId="3" fillId="7" borderId="0" xfId="0" applyFont="1" applyFill="1" applyAlignment="1">
      <alignment vertical="top" wrapText="1"/>
    </xf>
    <xf numFmtId="0" fontId="9" fillId="7" borderId="0" xfId="0" applyFont="1" applyFill="1" applyAlignment="1">
      <alignment horizontal="center" vertical="top" wrapText="1"/>
    </xf>
    <xf numFmtId="0" fontId="13" fillId="7" borderId="0" xfId="0" applyFont="1" applyFill="1" applyAlignment="1">
      <alignment horizontal="center" vertical="top" wrapText="1"/>
    </xf>
    <xf numFmtId="0" fontId="3" fillId="7" borderId="0" xfId="0" applyFont="1" applyFill="1" applyAlignment="1">
      <alignment horizontal="center" vertical="top" wrapText="1"/>
    </xf>
    <xf numFmtId="0" fontId="9" fillId="7" borderId="0" xfId="0" applyFont="1" applyFill="1" applyAlignment="1">
      <alignment vertical="top" wrapText="1"/>
    </xf>
    <xf numFmtId="0" fontId="3" fillId="7" borderId="0" xfId="0" applyFont="1" applyFill="1" applyAlignment="1">
      <alignment vertical="top"/>
    </xf>
    <xf numFmtId="14" fontId="3" fillId="7" borderId="0" xfId="0" applyNumberFormat="1" applyFont="1" applyFill="1" applyAlignment="1">
      <alignment vertical="top" wrapText="1"/>
    </xf>
    <xf numFmtId="0" fontId="17" fillId="7" borderId="0" xfId="0" applyFont="1" applyFill="1"/>
    <xf numFmtId="0" fontId="19" fillId="0" borderId="0" xfId="0" applyFont="1"/>
    <xf numFmtId="0" fontId="18" fillId="8" borderId="0" xfId="0" applyFont="1" applyFill="1"/>
    <xf numFmtId="0" fontId="4" fillId="7" borderId="0" xfId="0" applyFont="1" applyFill="1" applyAlignment="1">
      <alignment vertical="top" wrapText="1"/>
    </xf>
    <xf numFmtId="0" fontId="4" fillId="5" borderId="0" xfId="0" applyFont="1" applyFill="1" applyAlignment="1">
      <alignment vertical="top" wrapText="1"/>
    </xf>
    <xf numFmtId="14" fontId="3" fillId="0" borderId="0" xfId="1" applyNumberFormat="1" applyFont="1" applyFill="1" applyAlignment="1">
      <alignment vertical="top" wrapText="1"/>
    </xf>
    <xf numFmtId="0" fontId="10" fillId="0" borderId="0" xfId="0" applyFont="1" applyAlignment="1">
      <alignment horizontal="center" vertical="top" wrapText="1"/>
    </xf>
    <xf numFmtId="0" fontId="6" fillId="0" borderId="0" xfId="0" applyFont="1" applyAlignment="1">
      <alignment horizontal="center" vertical="top" wrapText="1"/>
    </xf>
    <xf numFmtId="0" fontId="10" fillId="0" borderId="0" xfId="0" applyFont="1" applyAlignment="1">
      <alignment vertical="top" wrapText="1"/>
    </xf>
    <xf numFmtId="49" fontId="10" fillId="0" borderId="0" xfId="0" applyNumberFormat="1" applyFont="1" applyAlignment="1">
      <alignment horizontal="center" vertical="top" wrapText="1"/>
    </xf>
    <xf numFmtId="0" fontId="6" fillId="0" borderId="0" xfId="0" applyFont="1" applyAlignment="1">
      <alignment vertical="top"/>
    </xf>
    <xf numFmtId="14" fontId="6" fillId="0" borderId="0" xfId="0" applyNumberFormat="1" applyFont="1" applyAlignment="1">
      <alignment vertical="top" wrapText="1"/>
    </xf>
    <xf numFmtId="0" fontId="6" fillId="0" borderId="2" xfId="0" applyFont="1" applyBorder="1" applyAlignment="1">
      <alignment vertical="top" wrapText="1"/>
    </xf>
    <xf numFmtId="0" fontId="15" fillId="0" borderId="2" xfId="0" applyFont="1" applyBorder="1" applyAlignment="1">
      <alignment horizontal="center" vertical="top" wrapText="1"/>
    </xf>
    <xf numFmtId="0" fontId="3" fillId="0" borderId="2" xfId="0" applyFont="1" applyBorder="1" applyAlignment="1">
      <alignment horizontal="center" vertical="top" wrapText="1"/>
    </xf>
    <xf numFmtId="14" fontId="3" fillId="0" borderId="2" xfId="0" applyNumberFormat="1"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horizontal="center" vertical="top" wrapText="1"/>
    </xf>
    <xf numFmtId="0" fontId="4" fillId="0" borderId="2" xfId="0" applyFont="1" applyBorder="1" applyAlignment="1">
      <alignment vertical="top" wrapText="1"/>
    </xf>
    <xf numFmtId="49" fontId="8" fillId="0" borderId="2" xfId="0" applyNumberFormat="1" applyFont="1" applyBorder="1" applyAlignment="1">
      <alignment horizontal="center" vertical="top" wrapText="1"/>
    </xf>
    <xf numFmtId="0" fontId="4" fillId="0" borderId="2" xfId="0" applyFont="1" applyBorder="1" applyAlignment="1">
      <alignment vertical="top"/>
    </xf>
    <xf numFmtId="0" fontId="3" fillId="2" borderId="2" xfId="0" applyFont="1" applyFill="1" applyBorder="1" applyAlignment="1">
      <alignment vertical="top" wrapText="1"/>
    </xf>
    <xf numFmtId="0" fontId="13" fillId="0" borderId="2" xfId="0" applyFont="1" applyBorder="1" applyAlignment="1">
      <alignment horizontal="center" vertical="top" wrapText="1"/>
    </xf>
    <xf numFmtId="0" fontId="9" fillId="0" borderId="2" xfId="0" applyFont="1" applyBorder="1" applyAlignment="1">
      <alignment horizontal="center" vertical="top" wrapText="1"/>
    </xf>
    <xf numFmtId="0" fontId="9" fillId="0" borderId="2" xfId="0" applyFont="1" applyBorder="1" applyAlignment="1">
      <alignment vertical="top" wrapText="1"/>
    </xf>
    <xf numFmtId="49" fontId="9" fillId="0" borderId="2" xfId="0" applyNumberFormat="1" applyFont="1" applyBorder="1" applyAlignment="1">
      <alignment horizontal="center" vertical="top" wrapText="1"/>
    </xf>
    <xf numFmtId="0" fontId="3" fillId="0" borderId="2" xfId="0" applyFont="1" applyBorder="1" applyAlignment="1">
      <alignment vertical="top"/>
    </xf>
    <xf numFmtId="0" fontId="3" fillId="0" borderId="2" xfId="0" applyFont="1" applyBorder="1" applyAlignment="1">
      <alignment horizontal="center" vertical="top"/>
    </xf>
    <xf numFmtId="0" fontId="8" fillId="0" borderId="2" xfId="0" applyFont="1" applyBorder="1" applyAlignment="1">
      <alignment vertical="top" wrapText="1"/>
    </xf>
    <xf numFmtId="0" fontId="8" fillId="0" borderId="2" xfId="0" applyFont="1" applyBorder="1" applyAlignment="1">
      <alignment horizontal="center" vertical="top" wrapText="1"/>
    </xf>
    <xf numFmtId="0" fontId="16" fillId="0" borderId="0" xfId="0" applyFont="1" applyAlignment="1">
      <alignment vertical="top" wrapText="1"/>
    </xf>
    <xf numFmtId="49" fontId="16" fillId="0" borderId="0" xfId="0" applyNumberFormat="1" applyFont="1" applyAlignment="1">
      <alignment horizontal="center" vertical="top" wrapText="1"/>
    </xf>
    <xf numFmtId="0" fontId="7" fillId="0" borderId="0" xfId="0" applyFont="1" applyAlignment="1">
      <alignment vertical="top"/>
    </xf>
    <xf numFmtId="14" fontId="7" fillId="0" borderId="0" xfId="0" applyNumberFormat="1" applyFont="1" applyAlignment="1">
      <alignment vertical="top" wrapText="1"/>
    </xf>
    <xf numFmtId="0" fontId="20" fillId="9" borderId="0" xfId="0" applyFont="1" applyFill="1" applyAlignment="1">
      <alignment vertical="top" wrapText="1"/>
    </xf>
    <xf numFmtId="0" fontId="21" fillId="9" borderId="0" xfId="0" applyFont="1" applyFill="1" applyAlignment="1">
      <alignment vertical="top" wrapText="1"/>
    </xf>
    <xf numFmtId="0" fontId="22" fillId="9" borderId="0" xfId="0" applyFont="1" applyFill="1" applyAlignment="1">
      <alignment horizontal="center" vertical="top" wrapText="1"/>
    </xf>
    <xf numFmtId="0" fontId="23" fillId="9" borderId="0" xfId="0" applyFont="1" applyFill="1" applyAlignment="1">
      <alignment horizontal="center" vertical="top" wrapText="1"/>
    </xf>
    <xf numFmtId="0" fontId="20" fillId="9" borderId="0" xfId="0" applyFont="1" applyFill="1" applyAlignment="1">
      <alignment horizontal="center" vertical="top" wrapText="1"/>
    </xf>
    <xf numFmtId="0" fontId="22" fillId="9" borderId="0" xfId="0" applyFont="1" applyFill="1" applyAlignment="1">
      <alignment vertical="top" wrapText="1"/>
    </xf>
    <xf numFmtId="49" fontId="22" fillId="9" borderId="0" xfId="0" applyNumberFormat="1" applyFont="1" applyFill="1" applyAlignment="1">
      <alignment horizontal="center" vertical="top" wrapText="1"/>
    </xf>
    <xf numFmtId="0" fontId="20" fillId="9" borderId="0" xfId="0" applyFont="1" applyFill="1" applyAlignment="1">
      <alignment vertical="top"/>
    </xf>
    <xf numFmtId="14" fontId="20" fillId="9" borderId="0" xfId="0" applyNumberFormat="1" applyFont="1" applyFill="1" applyAlignment="1">
      <alignment vertical="top" wrapText="1"/>
    </xf>
    <xf numFmtId="0" fontId="17" fillId="9" borderId="0" xfId="0" applyFont="1" applyFill="1"/>
    <xf numFmtId="14" fontId="20" fillId="9" borderId="0" xfId="0" applyNumberFormat="1" applyFont="1" applyFill="1" applyAlignment="1">
      <alignment horizontal="center" vertical="top" wrapText="1"/>
    </xf>
    <xf numFmtId="0" fontId="22" fillId="9" borderId="0" xfId="0" applyFont="1" applyFill="1" applyAlignment="1">
      <alignment horizontal="center" vertical="top"/>
    </xf>
    <xf numFmtId="0" fontId="2" fillId="0" borderId="0" xfId="0" applyFont="1" applyAlignment="1">
      <alignment vertical="center"/>
    </xf>
    <xf numFmtId="0" fontId="24" fillId="9" borderId="0" xfId="0" applyFont="1" applyFill="1" applyAlignment="1">
      <alignment vertical="top" wrapText="1"/>
    </xf>
    <xf numFmtId="0" fontId="25" fillId="9" borderId="0" xfId="0" applyFont="1" applyFill="1" applyAlignment="1">
      <alignment horizontal="center" vertical="top" wrapText="1"/>
    </xf>
    <xf numFmtId="0" fontId="26" fillId="9" borderId="0" xfId="0" applyFont="1" applyFill="1" applyAlignment="1">
      <alignment horizontal="center" vertical="top" wrapText="1"/>
    </xf>
    <xf numFmtId="0" fontId="21" fillId="9" borderId="0" xfId="0" applyFont="1" applyFill="1" applyAlignment="1">
      <alignment horizontal="center" vertical="top" wrapText="1"/>
    </xf>
    <xf numFmtId="14" fontId="21" fillId="9" borderId="0" xfId="0" applyNumberFormat="1" applyFont="1" applyFill="1" applyAlignment="1">
      <alignment horizontal="center" vertical="top" wrapText="1"/>
    </xf>
    <xf numFmtId="0" fontId="25" fillId="9" borderId="0" xfId="0" applyFont="1" applyFill="1" applyAlignment="1">
      <alignment vertical="top" wrapText="1"/>
    </xf>
    <xf numFmtId="49" fontId="25" fillId="9" borderId="0" xfId="0" applyNumberFormat="1" applyFont="1" applyFill="1" applyAlignment="1">
      <alignment horizontal="center" vertical="top" wrapText="1"/>
    </xf>
    <xf numFmtId="0" fontId="21" fillId="9" borderId="0" xfId="0" applyFont="1" applyFill="1" applyAlignment="1">
      <alignment vertical="top"/>
    </xf>
    <xf numFmtId="14" fontId="21" fillId="9" borderId="0" xfId="0" applyNumberFormat="1" applyFont="1" applyFill="1" applyAlignment="1">
      <alignment vertical="top" wrapText="1"/>
    </xf>
    <xf numFmtId="14" fontId="27" fillId="9" borderId="0" xfId="1" applyNumberFormat="1" applyFont="1" applyFill="1" applyAlignment="1">
      <alignment vertical="top" wrapText="1"/>
    </xf>
    <xf numFmtId="0" fontId="21" fillId="7" borderId="0" xfId="0" applyFont="1" applyFill="1" applyAlignment="1">
      <alignment vertical="top" wrapText="1"/>
    </xf>
    <xf numFmtId="0" fontId="25" fillId="7" borderId="0" xfId="0" applyFont="1" applyFill="1" applyAlignment="1">
      <alignment horizontal="center" vertical="top" wrapText="1"/>
    </xf>
    <xf numFmtId="0" fontId="26" fillId="7" borderId="0" xfId="0" applyFont="1" applyFill="1" applyAlignment="1">
      <alignment horizontal="center" vertical="top" wrapText="1"/>
    </xf>
    <xf numFmtId="0" fontId="21" fillId="7" borderId="0" xfId="0" applyFont="1" applyFill="1" applyAlignment="1">
      <alignment horizontal="center" vertical="top" wrapText="1"/>
    </xf>
    <xf numFmtId="0" fontId="25" fillId="7" borderId="0" xfId="0" applyFont="1" applyFill="1" applyAlignment="1">
      <alignment vertical="top" wrapText="1"/>
    </xf>
    <xf numFmtId="0" fontId="25" fillId="7" borderId="0" xfId="0" applyFont="1" applyFill="1" applyAlignment="1">
      <alignment horizontal="center" vertical="top"/>
    </xf>
    <xf numFmtId="0" fontId="21" fillId="7" borderId="0" xfId="0" applyFont="1" applyFill="1" applyAlignment="1">
      <alignment vertical="top"/>
    </xf>
    <xf numFmtId="14" fontId="21" fillId="7" borderId="0" xfId="0" applyNumberFormat="1" applyFont="1" applyFill="1" applyAlignment="1">
      <alignment vertical="top" wrapText="1"/>
    </xf>
    <xf numFmtId="0" fontId="25" fillId="9" borderId="0" xfId="0" applyFont="1" applyFill="1" applyAlignment="1">
      <alignment horizontal="center" vertical="top"/>
    </xf>
    <xf numFmtId="49" fontId="25" fillId="9" borderId="0" xfId="0" applyNumberFormat="1" applyFont="1" applyFill="1" applyAlignment="1">
      <alignment horizontal="center" vertical="top"/>
    </xf>
    <xf numFmtId="14" fontId="28" fillId="9" borderId="0" xfId="1" applyNumberFormat="1" applyFont="1" applyFill="1" applyAlignment="1">
      <alignment vertical="top" wrapText="1"/>
    </xf>
    <xf numFmtId="14" fontId="26" fillId="9" borderId="0" xfId="0" applyNumberFormat="1" applyFont="1" applyFill="1" applyAlignment="1">
      <alignment horizontal="center" vertical="top" wrapText="1"/>
    </xf>
    <xf numFmtId="14" fontId="26" fillId="7" borderId="0" xfId="0" applyNumberFormat="1" applyFont="1" applyFill="1" applyAlignment="1">
      <alignment horizontal="center" vertical="top" wrapText="1"/>
    </xf>
    <xf numFmtId="0" fontId="12" fillId="0" borderId="0" xfId="0" applyFont="1" applyAlignment="1">
      <alignment horizontal="center" vertical="top" wrapText="1"/>
    </xf>
    <xf numFmtId="0" fontId="12" fillId="0" borderId="2" xfId="0" applyFont="1" applyBorder="1" applyAlignment="1">
      <alignment horizontal="center" vertical="top" wrapText="1"/>
    </xf>
    <xf numFmtId="0" fontId="26" fillId="9" borderId="0" xfId="0" applyFont="1" applyFill="1" applyAlignment="1">
      <alignment horizontal="center" vertical="top"/>
    </xf>
    <xf numFmtId="0" fontId="29" fillId="9" borderId="0" xfId="0" applyFont="1" applyFill="1" applyAlignment="1">
      <alignment vertical="top"/>
    </xf>
    <xf numFmtId="0" fontId="21" fillId="9" borderId="0" xfId="0" applyFont="1" applyFill="1" applyAlignment="1">
      <alignment horizontal="center" vertical="top"/>
    </xf>
    <xf numFmtId="0" fontId="30" fillId="9" borderId="0" xfId="0" applyFont="1" applyFill="1" applyAlignment="1">
      <alignment vertical="top" wrapText="1"/>
    </xf>
    <xf numFmtId="0" fontId="31" fillId="9" borderId="0" xfId="0" applyFont="1" applyFill="1" applyAlignment="1">
      <alignment horizontal="center" vertical="top" wrapText="1"/>
    </xf>
    <xf numFmtId="0" fontId="32" fillId="9" borderId="0" xfId="0" applyFont="1" applyFill="1" applyAlignment="1">
      <alignment horizontal="center" vertical="top" wrapText="1"/>
    </xf>
    <xf numFmtId="0" fontId="30" fillId="9" borderId="0" xfId="0" applyFont="1" applyFill="1" applyAlignment="1">
      <alignment horizontal="center" vertical="top" wrapText="1"/>
    </xf>
    <xf numFmtId="0" fontId="31" fillId="9" borderId="0" xfId="0" applyFont="1" applyFill="1" applyAlignment="1">
      <alignment vertical="top" wrapText="1"/>
    </xf>
    <xf numFmtId="0" fontId="31" fillId="9" borderId="0" xfId="0" applyFont="1" applyFill="1" applyAlignment="1">
      <alignment horizontal="center" vertical="top"/>
    </xf>
    <xf numFmtId="0" fontId="30" fillId="9" borderId="0" xfId="0" applyFont="1" applyFill="1" applyAlignment="1">
      <alignment vertical="top"/>
    </xf>
    <xf numFmtId="14" fontId="30" fillId="9" borderId="0" xfId="0" applyNumberFormat="1" applyFont="1" applyFill="1" applyAlignment="1">
      <alignment vertical="top" wrapText="1"/>
    </xf>
    <xf numFmtId="14" fontId="30" fillId="9" borderId="0" xfId="0" applyNumberFormat="1" applyFont="1" applyFill="1" applyAlignment="1">
      <alignment horizontal="center" vertical="top" wrapText="1"/>
    </xf>
    <xf numFmtId="14" fontId="11" fillId="9" borderId="0" xfId="1" applyNumberFormat="1" applyFill="1" applyAlignment="1">
      <alignment vertical="top" wrapText="1"/>
    </xf>
    <xf numFmtId="14" fontId="33" fillId="9" borderId="0" xfId="1" applyNumberFormat="1" applyFont="1" applyFill="1" applyAlignment="1">
      <alignment vertical="top" wrapText="1"/>
    </xf>
    <xf numFmtId="49" fontId="31" fillId="9" borderId="0" xfId="0" applyNumberFormat="1" applyFont="1" applyFill="1" applyAlignment="1">
      <alignment horizontal="center" vertical="top" wrapText="1"/>
    </xf>
    <xf numFmtId="0" fontId="30" fillId="7" borderId="0" xfId="0" applyFont="1" applyFill="1" applyAlignment="1">
      <alignment vertical="top" wrapText="1"/>
    </xf>
    <xf numFmtId="0" fontId="31" fillId="7" borderId="0" xfId="0" applyFont="1" applyFill="1" applyAlignment="1">
      <alignment horizontal="center" vertical="top" wrapText="1"/>
    </xf>
    <xf numFmtId="0" fontId="32" fillId="7" borderId="0" xfId="0" applyFont="1" applyFill="1" applyAlignment="1">
      <alignment horizontal="center" vertical="top" wrapText="1"/>
    </xf>
    <xf numFmtId="0" fontId="30" fillId="7" borderId="0" xfId="0" applyFont="1" applyFill="1" applyAlignment="1">
      <alignment horizontal="center" vertical="top" wrapText="1"/>
    </xf>
    <xf numFmtId="0" fontId="31" fillId="7" borderId="0" xfId="0" applyFont="1" applyFill="1" applyAlignment="1">
      <alignment vertical="top" wrapText="1"/>
    </xf>
    <xf numFmtId="0" fontId="31" fillId="7" borderId="0" xfId="0" applyFont="1" applyFill="1" applyAlignment="1">
      <alignment horizontal="center" vertical="top"/>
    </xf>
    <xf numFmtId="0" fontId="30" fillId="7" borderId="0" xfId="0" applyFont="1" applyFill="1" applyAlignment="1">
      <alignment vertical="top"/>
    </xf>
    <xf numFmtId="14" fontId="30" fillId="7" borderId="0" xfId="0" applyNumberFormat="1" applyFont="1" applyFill="1" applyAlignment="1">
      <alignment vertical="top" wrapText="1"/>
    </xf>
    <xf numFmtId="49" fontId="25" fillId="7" borderId="0" xfId="0" applyNumberFormat="1" applyFont="1" applyFill="1" applyAlignment="1">
      <alignment horizontal="center" vertical="top"/>
    </xf>
    <xf numFmtId="49" fontId="25" fillId="7" borderId="0" xfId="0" applyNumberFormat="1" applyFont="1" applyFill="1" applyAlignment="1">
      <alignment horizontal="center" vertical="top" wrapText="1"/>
    </xf>
    <xf numFmtId="0" fontId="21" fillId="7" borderId="0" xfId="0" applyFont="1" applyFill="1" applyAlignment="1">
      <alignment horizontal="justify" vertical="center"/>
    </xf>
    <xf numFmtId="0" fontId="21" fillId="0" borderId="0" xfId="0" applyFont="1" applyAlignment="1">
      <alignment vertical="top" wrapText="1"/>
    </xf>
    <xf numFmtId="0" fontId="21" fillId="6" borderId="0" xfId="0" applyFont="1" applyFill="1" applyAlignment="1">
      <alignment vertical="top" wrapText="1"/>
    </xf>
    <xf numFmtId="0" fontId="29" fillId="9" borderId="0" xfId="0" applyFont="1" applyFill="1" applyAlignment="1">
      <alignment horizontal="center" vertical="top"/>
    </xf>
    <xf numFmtId="0" fontId="21" fillId="9" borderId="0" xfId="0" applyFont="1" applyFill="1" applyAlignment="1">
      <alignment wrapText="1"/>
    </xf>
    <xf numFmtId="0" fontId="21" fillId="5" borderId="0" xfId="0" applyFont="1" applyFill="1" applyAlignment="1">
      <alignment vertical="top" wrapText="1"/>
    </xf>
    <xf numFmtId="0" fontId="25" fillId="5" borderId="0" xfId="0" applyFont="1" applyFill="1" applyAlignment="1">
      <alignment horizontal="center" vertical="top" wrapText="1"/>
    </xf>
    <xf numFmtId="0" fontId="26" fillId="5" borderId="0" xfId="0" applyFont="1" applyFill="1" applyAlignment="1">
      <alignment horizontal="center" vertical="top" wrapText="1"/>
    </xf>
    <xf numFmtId="0" fontId="21" fillId="5" borderId="0" xfId="0" applyFont="1" applyFill="1" applyAlignment="1">
      <alignment horizontal="center" vertical="top" wrapText="1"/>
    </xf>
    <xf numFmtId="0" fontId="25" fillId="5" borderId="0" xfId="0" applyFont="1" applyFill="1" applyAlignment="1">
      <alignment vertical="top" wrapText="1"/>
    </xf>
    <xf numFmtId="49" fontId="25" fillId="5" borderId="0" xfId="0" applyNumberFormat="1" applyFont="1" applyFill="1" applyAlignment="1">
      <alignment horizontal="center" vertical="top" wrapText="1"/>
    </xf>
    <xf numFmtId="14" fontId="21" fillId="5" borderId="0" xfId="0" applyNumberFormat="1" applyFont="1" applyFill="1" applyAlignment="1">
      <alignment vertical="top" wrapText="1"/>
    </xf>
    <xf numFmtId="0" fontId="21" fillId="5" borderId="0" xfId="0" applyFont="1" applyFill="1" applyAlignment="1">
      <alignment vertical="top"/>
    </xf>
    <xf numFmtId="14" fontId="26" fillId="5" borderId="0" xfId="0" applyNumberFormat="1" applyFont="1" applyFill="1" applyAlignment="1">
      <alignment horizontal="center" vertical="top" wrapText="1"/>
    </xf>
    <xf numFmtId="0" fontId="25" fillId="5" borderId="0" xfId="0" applyFont="1" applyFill="1" applyAlignment="1">
      <alignment horizontal="center" vertical="top"/>
    </xf>
    <xf numFmtId="0" fontId="34" fillId="7" borderId="0" xfId="0" applyFont="1" applyFill="1" applyAlignment="1">
      <alignment vertical="top" wrapText="1"/>
    </xf>
    <xf numFmtId="0" fontId="25" fillId="9" borderId="0" xfId="0" applyFont="1" applyFill="1" applyAlignment="1">
      <alignment horizontal="left" vertical="top" wrapText="1"/>
    </xf>
    <xf numFmtId="0" fontId="25" fillId="9" borderId="0" xfId="0" applyFont="1" applyFill="1" applyAlignment="1">
      <alignment horizontal="center" vertical="center" wrapText="1"/>
    </xf>
    <xf numFmtId="14" fontId="11" fillId="7" borderId="0" xfId="1" applyNumberFormat="1" applyFill="1" applyAlignment="1">
      <alignment vertical="top" wrapText="1"/>
    </xf>
    <xf numFmtId="0" fontId="25" fillId="9" borderId="0" xfId="0" applyFont="1" applyFill="1" applyAlignment="1">
      <alignment vertical="top"/>
    </xf>
    <xf numFmtId="0" fontId="35" fillId="9" borderId="1" xfId="1" applyFont="1" applyFill="1" applyBorder="1" applyAlignment="1">
      <alignment horizontal="left" vertical="top" wrapText="1"/>
    </xf>
    <xf numFmtId="14" fontId="35" fillId="9" borderId="0" xfId="1" applyNumberFormat="1" applyFont="1" applyFill="1" applyAlignment="1">
      <alignment vertical="top" wrapText="1"/>
    </xf>
    <xf numFmtId="0" fontId="5" fillId="7" borderId="0" xfId="0" applyFont="1" applyFill="1" applyAlignment="1">
      <alignment vertical="top" wrapText="1"/>
    </xf>
    <xf numFmtId="0" fontId="9" fillId="7" borderId="0" xfId="0" applyFont="1" applyFill="1" applyAlignment="1">
      <alignment horizontal="center" vertical="top"/>
    </xf>
    <xf numFmtId="0" fontId="28" fillId="9" borderId="1" xfId="1" applyFont="1" applyFill="1" applyBorder="1" applyAlignment="1">
      <alignment horizontal="left" vertical="top" wrapText="1"/>
    </xf>
    <xf numFmtId="0" fontId="28" fillId="9" borderId="0" xfId="1" applyFont="1" applyFill="1" applyAlignment="1">
      <alignment wrapText="1"/>
    </xf>
    <xf numFmtId="0" fontId="21" fillId="4" borderId="0" xfId="0" applyFont="1" applyFill="1" applyAlignment="1">
      <alignment vertical="top" wrapText="1"/>
    </xf>
    <xf numFmtId="0" fontId="25" fillId="4" borderId="0" xfId="0" applyFont="1" applyFill="1" applyAlignment="1">
      <alignment horizontal="center" vertical="top" wrapText="1"/>
    </xf>
    <xf numFmtId="0" fontId="26" fillId="4" borderId="0" xfId="0" applyFont="1" applyFill="1" applyAlignment="1">
      <alignment horizontal="center" vertical="top" wrapText="1"/>
    </xf>
    <xf numFmtId="0" fontId="21" fillId="4" borderId="0" xfId="0" applyFont="1" applyFill="1" applyAlignment="1">
      <alignment horizontal="center" vertical="top" wrapText="1"/>
    </xf>
    <xf numFmtId="0" fontId="25" fillId="4" borderId="0" xfId="0" applyFont="1" applyFill="1" applyAlignment="1">
      <alignment vertical="top" wrapText="1"/>
    </xf>
    <xf numFmtId="49" fontId="25" fillId="4" borderId="0" xfId="0" applyNumberFormat="1" applyFont="1" applyFill="1" applyAlignment="1">
      <alignment horizontal="center" vertical="top" wrapText="1"/>
    </xf>
    <xf numFmtId="0" fontId="21" fillId="4" borderId="0" xfId="0" applyFont="1" applyFill="1" applyAlignment="1">
      <alignment vertical="top"/>
    </xf>
    <xf numFmtId="14" fontId="21" fillId="4" borderId="0" xfId="0" applyNumberFormat="1" applyFont="1" applyFill="1" applyAlignment="1">
      <alignment vertical="top" wrapText="1"/>
    </xf>
    <xf numFmtId="0" fontId="34" fillId="9" borderId="0" xfId="0" applyFont="1" applyFill="1" applyAlignment="1">
      <alignment vertical="top" wrapText="1"/>
    </xf>
    <xf numFmtId="15" fontId="21" fillId="9" borderId="0" xfId="0" applyNumberFormat="1" applyFont="1" applyFill="1" applyAlignment="1">
      <alignment horizontal="center" vertical="top" wrapText="1"/>
    </xf>
    <xf numFmtId="0" fontId="28" fillId="9" borderId="0" xfId="1" applyFont="1" applyFill="1" applyBorder="1" applyAlignment="1">
      <alignment horizontal="left" vertical="top" wrapText="1"/>
    </xf>
    <xf numFmtId="0" fontId="21" fillId="9" borderId="2" xfId="0" applyFont="1" applyFill="1" applyBorder="1" applyAlignment="1">
      <alignment vertical="top" wrapText="1"/>
    </xf>
    <xf numFmtId="0" fontId="25" fillId="9" borderId="0" xfId="0" applyFont="1" applyFill="1" applyAlignment="1">
      <alignment horizontal="justify" vertical="top"/>
    </xf>
    <xf numFmtId="0" fontId="28" fillId="9" borderId="0" xfId="1" applyFont="1" applyFill="1" applyAlignment="1">
      <alignment vertical="center" wrapText="1"/>
    </xf>
    <xf numFmtId="14" fontId="21" fillId="9" borderId="0" xfId="0" applyNumberFormat="1" applyFont="1" applyFill="1" applyAlignment="1">
      <alignment horizontal="center" vertical="top"/>
    </xf>
    <xf numFmtId="49" fontId="21" fillId="9" borderId="0" xfId="0" applyNumberFormat="1" applyFont="1" applyFill="1" applyAlignment="1">
      <alignment horizontal="center" vertical="top" wrapText="1"/>
    </xf>
    <xf numFmtId="0" fontId="21" fillId="9" borderId="0" xfId="0" applyFont="1" applyFill="1"/>
    <xf numFmtId="0" fontId="21" fillId="9" borderId="0" xfId="0" applyFont="1" applyFill="1" applyAlignment="1">
      <alignment horizontal="justify" vertical="center"/>
    </xf>
    <xf numFmtId="0" fontId="36" fillId="9" borderId="0" xfId="0" applyFont="1" applyFill="1"/>
    <xf numFmtId="0" fontId="28" fillId="9" borderId="0" xfId="1" applyFont="1" applyFill="1" applyBorder="1" applyAlignment="1">
      <alignment vertical="top" wrapText="1"/>
    </xf>
    <xf numFmtId="14" fontId="28" fillId="9" borderId="0" xfId="1" applyNumberFormat="1" applyFont="1" applyFill="1" applyBorder="1" applyAlignment="1">
      <alignment vertical="top" wrapText="1"/>
    </xf>
    <xf numFmtId="0" fontId="7" fillId="10" borderId="0" xfId="0" applyFont="1" applyFill="1" applyAlignment="1">
      <alignment vertical="top" wrapText="1"/>
    </xf>
    <xf numFmtId="0" fontId="6" fillId="10" borderId="0" xfId="0" applyFont="1" applyFill="1" applyAlignment="1">
      <alignment vertical="top" wrapText="1"/>
    </xf>
    <xf numFmtId="0" fontId="15" fillId="10" borderId="0" xfId="0" applyFont="1" applyFill="1" applyAlignment="1">
      <alignment horizontal="center" vertical="top" wrapText="1"/>
    </xf>
    <xf numFmtId="0" fontId="10" fillId="10" borderId="0" xfId="0" applyFont="1" applyFill="1" applyAlignment="1">
      <alignment horizontal="center" vertical="top" wrapText="1"/>
    </xf>
    <xf numFmtId="0" fontId="6" fillId="10" borderId="0" xfId="0" applyFont="1" applyFill="1" applyAlignment="1">
      <alignment horizontal="center" vertical="top" wrapText="1"/>
    </xf>
    <xf numFmtId="0" fontId="10" fillId="10" borderId="0" xfId="0" applyFont="1" applyFill="1" applyAlignment="1">
      <alignment vertical="top" wrapText="1"/>
    </xf>
    <xf numFmtId="49" fontId="10" fillId="10" borderId="0" xfId="0" applyNumberFormat="1" applyFont="1" applyFill="1" applyAlignment="1">
      <alignment horizontal="center" vertical="top" wrapText="1"/>
    </xf>
    <xf numFmtId="0" fontId="6" fillId="10" borderId="0" xfId="0" applyFont="1" applyFill="1" applyAlignment="1">
      <alignment vertical="top"/>
    </xf>
    <xf numFmtId="14" fontId="7" fillId="10" borderId="0" xfId="0" applyNumberFormat="1" applyFont="1" applyFill="1" applyAlignment="1">
      <alignment vertical="top" wrapText="1"/>
    </xf>
    <xf numFmtId="0" fontId="26" fillId="9" borderId="2" xfId="0" applyFont="1" applyFill="1" applyBorder="1" applyAlignment="1">
      <alignment horizontal="center" vertical="top" wrapText="1"/>
    </xf>
    <xf numFmtId="0" fontId="25" fillId="9" borderId="2" xfId="0" applyFont="1" applyFill="1" applyBorder="1" applyAlignment="1">
      <alignment horizontal="center" vertical="top" wrapText="1"/>
    </xf>
    <xf numFmtId="0" fontId="21" fillId="9" borderId="2" xfId="0" applyFont="1" applyFill="1" applyBorder="1" applyAlignment="1">
      <alignment horizontal="center" vertical="top" wrapText="1"/>
    </xf>
    <xf numFmtId="0" fontId="25" fillId="9" borderId="2" xfId="0" applyFont="1" applyFill="1" applyBorder="1" applyAlignment="1">
      <alignment vertical="top" wrapText="1"/>
    </xf>
    <xf numFmtId="0" fontId="16" fillId="0" borderId="0" xfId="0" applyFont="1" applyAlignment="1">
      <alignment horizontal="center" vertical="center" wrapText="1"/>
    </xf>
    <xf numFmtId="0" fontId="25" fillId="9" borderId="2" xfId="0" applyFont="1" applyFill="1" applyBorder="1" applyAlignment="1">
      <alignment horizontal="center" vertical="top"/>
    </xf>
    <xf numFmtId="0" fontId="21" fillId="9" borderId="2" xfId="0" applyFont="1" applyFill="1" applyBorder="1" applyAlignment="1">
      <alignment vertical="top"/>
    </xf>
    <xf numFmtId="14" fontId="21" fillId="9" borderId="2" xfId="0" applyNumberFormat="1" applyFont="1" applyFill="1" applyBorder="1" applyAlignment="1">
      <alignment horizontal="center" vertical="top" wrapText="1"/>
    </xf>
    <xf numFmtId="14" fontId="3" fillId="2" borderId="0" xfId="0" applyNumberFormat="1" applyFont="1" applyFill="1" applyAlignment="1">
      <alignment vertical="top" wrapText="1"/>
    </xf>
    <xf numFmtId="14" fontId="21" fillId="9" borderId="2" xfId="0" applyNumberFormat="1" applyFont="1" applyFill="1" applyBorder="1" applyAlignment="1">
      <alignment vertical="top" wrapText="1"/>
    </xf>
    <xf numFmtId="14" fontId="21" fillId="9" borderId="1" xfId="0" applyNumberFormat="1" applyFont="1" applyFill="1" applyBorder="1" applyAlignment="1">
      <alignment vertical="top" wrapText="1"/>
    </xf>
    <xf numFmtId="49" fontId="25" fillId="9" borderId="2" xfId="0" applyNumberFormat="1" applyFont="1" applyFill="1" applyBorder="1" applyAlignment="1">
      <alignment horizontal="center" vertical="top"/>
    </xf>
    <xf numFmtId="49" fontId="25" fillId="7" borderId="1" xfId="0" applyNumberFormat="1" applyFont="1" applyFill="1" applyBorder="1" applyAlignment="1">
      <alignment horizontal="center" vertical="top" wrapText="1"/>
    </xf>
    <xf numFmtId="0" fontId="38" fillId="0" borderId="0" xfId="0" applyFont="1" applyAlignment="1">
      <alignment vertical="top" wrapText="1"/>
    </xf>
    <xf numFmtId="0" fontId="37" fillId="0" borderId="0" xfId="0" applyFont="1" applyAlignment="1">
      <alignment vertical="top" wrapText="1"/>
    </xf>
    <xf numFmtId="0" fontId="39" fillId="0" borderId="0" xfId="0" applyFont="1" applyAlignment="1">
      <alignment horizontal="center" vertical="top" wrapText="1"/>
    </xf>
    <xf numFmtId="0" fontId="40" fillId="0" borderId="0" xfId="0" applyFont="1" applyAlignment="1">
      <alignment horizontal="center" vertical="top" wrapText="1"/>
    </xf>
    <xf numFmtId="0" fontId="37" fillId="0" borderId="0" xfId="0" applyFont="1" applyAlignment="1">
      <alignment horizontal="center" vertical="top" wrapText="1"/>
    </xf>
    <xf numFmtId="0" fontId="38" fillId="0" borderId="0" xfId="0" applyFont="1" applyAlignment="1">
      <alignment horizontal="center" vertical="center" wrapText="1"/>
    </xf>
    <xf numFmtId="0" fontId="40" fillId="0" borderId="0" xfId="0" applyFont="1" applyAlignment="1">
      <alignment vertical="top" wrapText="1"/>
    </xf>
    <xf numFmtId="49" fontId="40" fillId="0" borderId="0" xfId="0" applyNumberFormat="1" applyFont="1" applyAlignment="1">
      <alignment horizontal="center" vertical="top" wrapText="1"/>
    </xf>
    <xf numFmtId="0" fontId="37" fillId="0" borderId="0" xfId="0" applyFont="1" applyAlignment="1">
      <alignment vertical="top"/>
    </xf>
    <xf numFmtId="0" fontId="38" fillId="0" borderId="0" xfId="0" applyFont="1" applyAlignment="1">
      <alignment horizontal="center" vertical="top" wrapText="1"/>
    </xf>
    <xf numFmtId="14" fontId="37" fillId="0" borderId="0" xfId="0" applyNumberFormat="1" applyFont="1" applyAlignment="1">
      <alignment vertical="top" wrapText="1"/>
    </xf>
    <xf numFmtId="14" fontId="37" fillId="0" borderId="0" xfId="0" applyNumberFormat="1" applyFont="1" applyAlignment="1">
      <alignment horizontal="center" vertical="top" wrapText="1"/>
    </xf>
    <xf numFmtId="0" fontId="7" fillId="11" borderId="0" xfId="0" applyFont="1" applyFill="1" applyAlignment="1">
      <alignment vertical="top" wrapText="1"/>
    </xf>
    <xf numFmtId="0" fontId="6" fillId="11" borderId="0" xfId="0" applyFont="1" applyFill="1" applyAlignment="1">
      <alignment vertical="top" wrapText="1"/>
    </xf>
    <xf numFmtId="0" fontId="14" fillId="11" borderId="0" xfId="0" applyFont="1" applyFill="1" applyAlignment="1">
      <alignment horizontal="center" vertical="top" wrapText="1"/>
    </xf>
    <xf numFmtId="0" fontId="16" fillId="11" borderId="0" xfId="0" applyFont="1" applyFill="1" applyAlignment="1">
      <alignment horizontal="center" vertical="top" wrapText="1"/>
    </xf>
    <xf numFmtId="0" fontId="7" fillId="11" borderId="0" xfId="0" applyFont="1" applyFill="1" applyAlignment="1">
      <alignment horizontal="center" vertical="top" wrapText="1"/>
    </xf>
    <xf numFmtId="0" fontId="6" fillId="11" borderId="0" xfId="0" applyFont="1" applyFill="1" applyAlignment="1">
      <alignment horizontal="center" vertical="top" wrapText="1"/>
    </xf>
    <xf numFmtId="0" fontId="16" fillId="11" borderId="0" xfId="0" applyFont="1" applyFill="1" applyAlignment="1">
      <alignment vertical="top" wrapText="1"/>
    </xf>
    <xf numFmtId="49" fontId="16" fillId="11" borderId="0" xfId="0" applyNumberFormat="1" applyFont="1" applyFill="1" applyAlignment="1">
      <alignment horizontal="center" vertical="top" wrapText="1"/>
    </xf>
    <xf numFmtId="0" fontId="7" fillId="11" borderId="0" xfId="0" applyFont="1" applyFill="1" applyAlignment="1">
      <alignment vertical="top"/>
    </xf>
    <xf numFmtId="14" fontId="7" fillId="11" borderId="0" xfId="0" applyNumberFormat="1" applyFont="1" applyFill="1" applyAlignment="1">
      <alignment vertical="top" wrapText="1"/>
    </xf>
    <xf numFmtId="0" fontId="25" fillId="9" borderId="0" xfId="0" applyFont="1" applyFill="1"/>
    <xf numFmtId="0" fontId="3" fillId="0" borderId="0" xfId="0" applyFont="1" applyAlignment="1">
      <alignment horizontal="left" vertical="center" wrapText="1"/>
    </xf>
    <xf numFmtId="0" fontId="4" fillId="0" borderId="0" xfId="0" applyFont="1" applyAlignment="1">
      <alignment horizontal="left" vertical="center" wrapText="1"/>
    </xf>
    <xf numFmtId="14" fontId="4" fillId="0" borderId="0" xfId="0" applyNumberFormat="1" applyFont="1" applyAlignment="1">
      <alignment horizontal="left" vertical="center" wrapText="1"/>
    </xf>
    <xf numFmtId="0" fontId="41" fillId="0" borderId="0" xfId="0" applyFont="1"/>
    <xf numFmtId="0" fontId="38" fillId="9" borderId="0" xfId="0" applyFont="1" applyFill="1" applyAlignment="1">
      <alignment vertical="top" wrapText="1"/>
    </xf>
    <xf numFmtId="0" fontId="38" fillId="11" borderId="0" xfId="0" applyFont="1" applyFill="1" applyAlignment="1">
      <alignment vertical="top" wrapText="1"/>
    </xf>
    <xf numFmtId="0" fontId="42" fillId="11" borderId="0" xfId="0" applyFont="1" applyFill="1" applyAlignment="1">
      <alignment horizontal="center" vertical="top" wrapText="1"/>
    </xf>
    <xf numFmtId="0" fontId="39" fillId="11" borderId="0" xfId="0" applyFont="1" applyFill="1" applyAlignment="1">
      <alignment horizontal="center" vertical="top" wrapText="1"/>
    </xf>
    <xf numFmtId="0" fontId="37" fillId="11" borderId="0" xfId="0" applyFont="1" applyFill="1" applyAlignment="1">
      <alignment horizontal="center" vertical="top" wrapText="1"/>
    </xf>
    <xf numFmtId="0" fontId="40" fillId="11" borderId="0" xfId="0" applyFont="1" applyFill="1" applyAlignment="1">
      <alignment vertical="top" wrapText="1"/>
    </xf>
    <xf numFmtId="0" fontId="40" fillId="11" borderId="0" xfId="0" applyFont="1" applyFill="1" applyAlignment="1">
      <alignment horizontal="center" vertical="top" wrapText="1"/>
    </xf>
    <xf numFmtId="49" fontId="40" fillId="11" borderId="0" xfId="0" applyNumberFormat="1" applyFont="1" applyFill="1" applyAlignment="1">
      <alignment horizontal="center" vertical="top" wrapText="1"/>
    </xf>
    <xf numFmtId="0" fontId="37" fillId="11" borderId="0" xfId="0" applyFont="1" applyFill="1" applyAlignment="1">
      <alignment vertical="top"/>
    </xf>
    <xf numFmtId="0" fontId="37" fillId="11" borderId="0" xfId="0" applyFont="1" applyFill="1" applyAlignment="1">
      <alignment vertical="top" wrapText="1"/>
    </xf>
    <xf numFmtId="14" fontId="37" fillId="11" borderId="0" xfId="0" applyNumberFormat="1" applyFont="1" applyFill="1" applyAlignment="1">
      <alignment horizontal="center" vertical="top" wrapText="1"/>
    </xf>
    <xf numFmtId="14" fontId="37" fillId="11" borderId="0" xfId="0" applyNumberFormat="1" applyFont="1" applyFill="1" applyAlignment="1">
      <alignment vertical="top" wrapText="1"/>
    </xf>
    <xf numFmtId="14" fontId="7" fillId="0" borderId="0" xfId="1" applyNumberFormat="1" applyFont="1" applyFill="1" applyAlignment="1">
      <alignment vertical="top" wrapText="1"/>
    </xf>
    <xf numFmtId="14" fontId="3" fillId="0" borderId="0" xfId="0" applyNumberFormat="1" applyFont="1" applyAlignment="1">
      <alignment horizontal="center" vertical="top" wrapText="1"/>
    </xf>
    <xf numFmtId="0" fontId="13" fillId="11" borderId="0" xfId="0" applyFont="1" applyFill="1" applyAlignment="1">
      <alignment horizontal="center" vertical="top" wrapText="1"/>
    </xf>
    <xf numFmtId="0" fontId="3" fillId="11" borderId="0" xfId="0" applyFont="1" applyFill="1" applyAlignment="1">
      <alignment horizontal="center" vertical="top" wrapText="1"/>
    </xf>
    <xf numFmtId="0" fontId="9" fillId="11" borderId="0" xfId="0" applyFont="1" applyFill="1" applyAlignment="1">
      <alignment vertical="top" wrapText="1"/>
    </xf>
    <xf numFmtId="0" fontId="9" fillId="11" borderId="0" xfId="0" applyFont="1" applyFill="1" applyAlignment="1">
      <alignment horizontal="center" vertical="top" wrapText="1"/>
    </xf>
    <xf numFmtId="49" fontId="9" fillId="11" borderId="0" xfId="0" applyNumberFormat="1" applyFont="1" applyFill="1" applyAlignment="1">
      <alignment horizontal="center" vertical="top" wrapText="1"/>
    </xf>
    <xf numFmtId="0" fontId="3" fillId="11" borderId="0" xfId="0" applyFont="1" applyFill="1" applyAlignment="1">
      <alignment vertical="top"/>
    </xf>
    <xf numFmtId="0" fontId="3" fillId="11" borderId="0" xfId="0" applyFont="1" applyFill="1" applyAlignment="1">
      <alignment vertical="top" wrapText="1"/>
    </xf>
    <xf numFmtId="14" fontId="3" fillId="11" borderId="0" xfId="0" applyNumberFormat="1" applyFont="1" applyFill="1" applyAlignment="1">
      <alignment vertical="top" wrapText="1"/>
    </xf>
  </cellXfs>
  <cellStyles count="2">
    <cellStyle name="Hyperlink" xfId="1" builtinId="8"/>
    <cellStyle name="Normal" xfId="0" builtinId="0"/>
  </cellStyles>
  <dxfs count="26">
    <dxf>
      <font>
        <b val="0"/>
        <i val="0"/>
        <strike val="0"/>
        <condense val="0"/>
        <extend val="0"/>
        <outline val="0"/>
        <shadow val="0"/>
        <u val="none"/>
        <vertAlign val="baseline"/>
        <sz val="12"/>
        <color theme="1"/>
        <name val="Verdana"/>
        <family val="2"/>
        <scheme val="none"/>
      </font>
      <numFmt numFmtId="19" formatCode="m/d/yyyy"/>
      <alignment horizontal="general"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general"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alignment horizontal="center"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alignment horizontal="center"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numFmt numFmtId="0" formatCode="General"/>
      <alignment horizontal="center"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numFmt numFmtId="0" formatCode="General"/>
      <alignment horizontal="center"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Verdana"/>
        <family val="2"/>
        <scheme val="none"/>
      </font>
      <numFmt numFmtId="30" formatCode="@"/>
      <alignment horizontal="center" vertical="top" textRotation="0" wrapText="1" indent="0" justifyLastLine="0" shrinkToFit="0" readingOrder="0"/>
    </dxf>
    <dxf>
      <font>
        <b val="0"/>
        <i val="0"/>
        <strike val="0"/>
        <condense val="0"/>
        <extend val="0"/>
        <outline val="0"/>
        <shadow val="0"/>
        <u val="none"/>
        <vertAlign val="baseline"/>
        <sz val="11"/>
        <color theme="1"/>
        <name val="Verdana"/>
        <family val="2"/>
        <scheme val="none"/>
      </font>
      <numFmt numFmtId="30" formatCode="@"/>
      <alignment horizontal="center" vertical="top" textRotation="0" wrapText="1" indent="0" justifyLastLine="0" shrinkToFit="0" readingOrder="0"/>
    </dxf>
    <dxf>
      <font>
        <b val="0"/>
        <i val="0"/>
        <strike val="0"/>
        <condense val="0"/>
        <extend val="0"/>
        <outline val="0"/>
        <shadow val="0"/>
        <u val="none"/>
        <vertAlign val="baseline"/>
        <sz val="11"/>
        <color theme="1"/>
        <name val="Verdana"/>
        <family val="2"/>
        <scheme val="none"/>
      </font>
      <fill>
        <patternFill patternType="solid">
          <fgColor indexed="64"/>
          <bgColor theme="7" tint="0.79998168889431442"/>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Verdana"/>
        <family val="2"/>
        <scheme val="none"/>
      </font>
      <fill>
        <patternFill patternType="solid">
          <fgColor indexed="64"/>
          <bgColor theme="7" tint="0.79998168889431442"/>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Verdana"/>
        <family val="2"/>
        <scheme val="none"/>
      </font>
      <alignment horizontal="center" vertical="top" textRotation="0" wrapText="1" indent="0" justifyLastLine="0" shrinkToFit="0" readingOrder="0"/>
    </dxf>
    <dxf>
      <font>
        <b val="0"/>
        <i val="0"/>
        <strike val="0"/>
        <condense val="0"/>
        <extend val="0"/>
        <outline val="0"/>
        <shadow val="0"/>
        <u val="none"/>
        <vertAlign val="baseline"/>
        <sz val="12"/>
        <color theme="1"/>
        <name val="Verdana"/>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Verdana"/>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Verdana"/>
        <family val="2"/>
        <scheme val="none"/>
      </font>
      <alignment horizontal="center" vertical="top" textRotation="0" wrapText="1" indent="0" justifyLastLine="0" shrinkToFit="0" readingOrder="0"/>
    </dxf>
    <dxf>
      <font>
        <b/>
        <i val="0"/>
        <strike val="0"/>
        <condense val="0"/>
        <extend val="0"/>
        <outline val="0"/>
        <shadow val="0"/>
        <u val="none"/>
        <vertAlign val="baseline"/>
        <sz val="12"/>
        <color theme="1"/>
        <name val="Verdana"/>
        <family val="2"/>
        <scheme val="none"/>
      </font>
      <alignment horizontal="general" vertical="top" textRotation="0" wrapText="1" indent="0" justifyLastLine="0" shrinkToFit="0" readingOrder="0"/>
    </dxf>
    <dxf>
      <font>
        <b/>
      </font>
    </dxf>
    <dxf>
      <font>
        <b/>
      </font>
    </dxf>
    <dxf>
      <font>
        <strike val="0"/>
        <outline val="0"/>
        <shadow val="0"/>
        <u val="none"/>
        <vertAlign val="baseline"/>
        <sz val="12"/>
        <name val="Verdana"/>
        <family val="2"/>
        <scheme val="none"/>
      </font>
      <numFmt numFmtId="19" formatCode="m/d/yyyy"/>
      <alignment horizontal="general" vertical="top" textRotation="0" wrapText="1" indent="0" justifyLastLine="0" shrinkToFit="0" readingOrder="0"/>
    </dxf>
    <dxf>
      <font>
        <b/>
        <i val="0"/>
        <strike val="0"/>
        <condense val="0"/>
        <extend val="0"/>
        <outline val="0"/>
        <shadow val="0"/>
        <u val="none"/>
        <vertAlign val="baseline"/>
        <sz val="12"/>
        <color theme="1"/>
        <name val="Verdana"/>
        <family val="2"/>
        <scheme val="none"/>
      </font>
      <numFmt numFmtId="19" formatCode="m/d/yyyy"/>
      <alignment horizontal="left" vertical="center" textRotation="0" wrapText="1" indent="0" justifyLastLine="0" shrinkToFit="0" readingOrder="0"/>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1FAD13-E945-4112-A657-76430D030282}" name="Table1" displayName="Table1" ref="A1:Z742" totalsRowShown="0" headerRowDxfId="25" dataDxfId="24">
  <autoFilter ref="A1:Z742" xr:uid="{F51FAD13-E945-4112-A657-76430D030282}"/>
  <tableColumns count="26">
    <tableColumn id="27" xr3:uid="{250825A2-FD74-455B-8154-7FE2B5F02898}" name="Marker Number" dataDxfId="23"/>
    <tableColumn id="18" xr3:uid="{E1A31116-4D27-42B7-B81F-B211FD114B98}" name="Marker Name" dataDxfId="22"/>
    <tableColumn id="1" xr3:uid="{0E408A6F-6432-4FFC-AEC3-6EB9B984E0C1}" name="Marker Num and Name" dataDxfId="21"/>
    <tableColumn id="2" xr3:uid="{B8948AAF-4CF8-4ADE-8936-15443A85E47B}" name="Site Visit" dataDxfId="20"/>
    <tableColumn id="3" xr3:uid="{D72AF32F-D172-496D-A0A5-59849AF09090}" name="Condition" dataDxfId="19"/>
    <tableColumn id="4" xr3:uid="{6C911343-E51D-47F0-8705-C97607190CCD}" name="Category" dataDxfId="18"/>
    <tableColumn id="34" xr3:uid="{E2F51D1F-BAD0-4375-A18E-BE8B35A18ACF}" name="Historical Category"/>
    <tableColumn id="25" xr3:uid="{381FB229-56E7-4D13-AE62-42DC6FE4B38B}" name="Text Review" dataDxfId="17"/>
    <tableColumn id="13" xr3:uid="{11DF26A4-7700-4307-9644-66DCED096614}" name="Original Funding Legislator(s)" dataDxfId="16"/>
    <tableColumn id="7" xr3:uid="{2BF906A0-2446-435F-8E25-F220829D8811}" name="Legislative District SENATE" dataDxfId="15"/>
    <tableColumn id="8" xr3:uid="{82EDC371-5614-468C-BBB3-F704CA90738E}" name="Legislative District HOUSE" dataDxfId="14"/>
    <tableColumn id="19" xr3:uid="{5D2C5054-C936-4756-A121-8FBE17CE5123}" name="Lat" dataDxfId="13"/>
    <tableColumn id="20" xr3:uid="{9214036C-7F4D-4103-BC98-4D36FC52173E}" name="Long" dataDxfId="12"/>
    <tableColumn id="21" xr3:uid="{D02FF3A7-6C5F-4144-9106-9D93E8CEAF4E}" name="Street Address (or closest approximation)" dataDxfId="11"/>
    <tableColumn id="22" xr3:uid="{65865073-0B45-4234-84A2-56ADA5040E13}" name="City" dataDxfId="10"/>
    <tableColumn id="23" xr3:uid="{D5B61E06-04E8-476A-B86C-E4F59652B2A1}" name="Zip" dataDxfId="9"/>
    <tableColumn id="11" xr3:uid="{7E5D2461-6161-4DC9-90D7-66908D736AFA}" name="Location Name"/>
    <tableColumn id="5" xr3:uid="{1AC37167-B1A4-495E-A353-2566E79D2F0E}" name="POC Information" dataDxfId="8"/>
    <tableColumn id="26" xr3:uid="{16B9AFF0-2507-4170-A4BF-687BF23264AE}" name="Notes" dataDxfId="7"/>
    <tableColumn id="28" xr3:uid="{5B180733-5496-4ED6-8871-B86886C29E98}" name="Material" dataDxfId="6"/>
    <tableColumn id="30" xr3:uid="{6CDE534F-9ED4-4670-B6F0-63D18E9FD009}" name="Year Installed" dataDxfId="5"/>
    <tableColumn id="31" xr3:uid="{61C5EB46-7357-4B71-86C2-FE50E1E062F9}" name="Date Unveiled" dataDxfId="4"/>
    <tableColumn id="32" xr3:uid="{EA6F20BD-77F8-45FE-ADCC-448CC5B16BAB}" name="Vendor" dataDxfId="3"/>
    <tableColumn id="41" xr3:uid="{03BD92AA-7A85-4802-B372-DAAD5B440B00}" name="Refurbished / Replaced" dataDxfId="2"/>
    <tableColumn id="17" xr3:uid="{2F0F88CE-0CC2-432B-ADAC-3D7AD6FD68C7}" name="URL" dataDxfId="1"/>
    <tableColumn id="29" xr3:uid="{545CCD55-2F03-4FDA-9CAC-49015063BE7B}" name="Photo URL" dataDxfId="0"/>
  </tableColumns>
  <tableStyleInfo name="TableStyleLight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archives.delaware.gov/wp-content/uploads/sites/156/2019/06/sc_280-2.jpg" TargetMode="External"/><Relationship Id="rId117" Type="http://schemas.openxmlformats.org/officeDocument/2006/relationships/hyperlink" Target="https://archives.delaware.gov/delaware-historical-markers/annie-jump-cannon/" TargetMode="External"/><Relationship Id="rId21" Type="http://schemas.openxmlformats.org/officeDocument/2006/relationships/hyperlink" Target="https://archives.delaware.gov/delaware-historical-markers/encampment-of-continental-troops-1777/" TargetMode="External"/><Relationship Id="rId42" Type="http://schemas.openxmlformats.org/officeDocument/2006/relationships/hyperlink" Target="https://archives.delaware.gov/wp-content/uploads/sites/156/2019/06/sc-202-2.jpg" TargetMode="External"/><Relationship Id="rId47" Type="http://schemas.openxmlformats.org/officeDocument/2006/relationships/hyperlink" Target="https://archives.delaware.gov/delaware-historical-markers/st-josephs-brandywine/" TargetMode="External"/><Relationship Id="rId63" Type="http://schemas.openxmlformats.org/officeDocument/2006/relationships/hyperlink" Target="https://archives.delaware.gov/delaware-historical-markers/gumboro-united-methodist-church/" TargetMode="External"/><Relationship Id="rId68" Type="http://schemas.openxmlformats.org/officeDocument/2006/relationships/hyperlink" Target="https://archives.delaware.gov/wp-content/uploads/sites/156/2019/06/ncc-208.jpg" TargetMode="External"/><Relationship Id="rId84" Type="http://schemas.openxmlformats.org/officeDocument/2006/relationships/hyperlink" Target="https://archives.delaware.gov/delaware-historical-markers/mccolleys-chapel/" TargetMode="External"/><Relationship Id="rId89" Type="http://schemas.openxmlformats.org/officeDocument/2006/relationships/hyperlink" Target="https://archives.delaware.gov/delaware-historical-markers/christ-church/" TargetMode="External"/><Relationship Id="rId112" Type="http://schemas.openxmlformats.org/officeDocument/2006/relationships/hyperlink" Target="https://archives.delaware.gov/delaware-historical-markers/home-william-julius-judy-johnson/" TargetMode="External"/><Relationship Id="rId133" Type="http://schemas.openxmlformats.org/officeDocument/2006/relationships/hyperlink" Target="https://archives.delaware.gov/delaware-historical-markers/st-georges-chapel/" TargetMode="External"/><Relationship Id="rId138" Type="http://schemas.openxmlformats.org/officeDocument/2006/relationships/hyperlink" Target="https://archives.delaware.gov/delaware-historical-markers/mt-zion-united-methodist-church/" TargetMode="External"/><Relationship Id="rId154" Type="http://schemas.openxmlformats.org/officeDocument/2006/relationships/hyperlink" Target="https://archives.delaware.gov/wp-content/uploads/sites/156/2019/06/kc-95-25.jpg" TargetMode="External"/><Relationship Id="rId159" Type="http://schemas.openxmlformats.org/officeDocument/2006/relationships/hyperlink" Target="https://archives.delaware.gov/delaware-historical-markers/chaplains-chapel/" TargetMode="External"/><Relationship Id="rId175" Type="http://schemas.openxmlformats.org/officeDocument/2006/relationships/hyperlink" Target="https://archives.delaware.gov/delaware-historical-markers/bethel-church-97/" TargetMode="External"/><Relationship Id="rId170" Type="http://schemas.openxmlformats.org/officeDocument/2006/relationships/hyperlink" Target="https://archives.delaware.gov/delaware-historical-markers/godwins-school-district-190/" TargetMode="External"/><Relationship Id="rId16" Type="http://schemas.openxmlformats.org/officeDocument/2006/relationships/hyperlink" Target="https://archives.delaware.gov/wp-content/uploads/sites/156/2019/06/kc_71-2.jpg" TargetMode="External"/><Relationship Id="rId107" Type="http://schemas.openxmlformats.org/officeDocument/2006/relationships/hyperlink" Target="https://archives.delaware.gov/delaware-historical-markers/delaware-city-old-public-school/" TargetMode="External"/><Relationship Id="rId11" Type="http://schemas.openxmlformats.org/officeDocument/2006/relationships/hyperlink" Target="https://archives.delaware.gov/delaware-historical-markers/governor-joseph-maull/" TargetMode="External"/><Relationship Id="rId32" Type="http://schemas.openxmlformats.org/officeDocument/2006/relationships/hyperlink" Target="https://archives.delaware.gov/wp-content/uploads/sites/156/2019/06/sc_057-2.jpg" TargetMode="External"/><Relationship Id="rId37" Type="http://schemas.openxmlformats.org/officeDocument/2006/relationships/hyperlink" Target="https://archives.delaware.gov/delaware-historical-markers/bethel-methodist-church/" TargetMode="External"/><Relationship Id="rId53" Type="http://schemas.openxmlformats.org/officeDocument/2006/relationships/hyperlink" Target="https://archives.delaware.gov/wp-content/uploads/sites/156/2019/06/sc-92-2.jpg" TargetMode="External"/><Relationship Id="rId58" Type="http://schemas.openxmlformats.org/officeDocument/2006/relationships/hyperlink" Target="https://archives.delaware.gov/wp-content/uploads/sites/156/2019/06/kc-106-2.jpg" TargetMode="External"/><Relationship Id="rId74" Type="http://schemas.openxmlformats.org/officeDocument/2006/relationships/hyperlink" Target="https://archives.delaware.gov/delaware-historical-markers/dagsboro-sc59/" TargetMode="External"/><Relationship Id="rId79" Type="http://schemas.openxmlformats.org/officeDocument/2006/relationships/hyperlink" Target="https://archives.delaware.gov/delaware-historical-markers/clifford-brown-legendary-jazz-musician/" TargetMode="External"/><Relationship Id="rId102" Type="http://schemas.openxmlformats.org/officeDocument/2006/relationships/hyperlink" Target="https://archives.delaware.gov/delaware-historical-markers/oriental-lodge-112-ioof/" TargetMode="External"/><Relationship Id="rId123" Type="http://schemas.openxmlformats.org/officeDocument/2006/relationships/hyperlink" Target="https://archives.delaware.gov/delaware-historical-markers/home-of-john-dickinson/" TargetMode="External"/><Relationship Id="rId128" Type="http://schemas.openxmlformats.org/officeDocument/2006/relationships/hyperlink" Target="https://archives.delaware.gov/delaware-historical-markers/jones-cemetery/" TargetMode="External"/><Relationship Id="rId144" Type="http://schemas.openxmlformats.org/officeDocument/2006/relationships/hyperlink" Target="https://archives.delaware.gov/wp-content/uploads/sites/156/2019/06/nc-161-25.jpg" TargetMode="External"/><Relationship Id="rId149" Type="http://schemas.openxmlformats.org/officeDocument/2006/relationships/hyperlink" Target="https://archives.delaware.gov/delaware-historical-markers/pencader-presbyterian-church/" TargetMode="External"/><Relationship Id="rId5" Type="http://schemas.openxmlformats.org/officeDocument/2006/relationships/hyperlink" Target="https://archives.delaware.gov/delaware-historical-markers/rockford-tower/" TargetMode="External"/><Relationship Id="rId90" Type="http://schemas.openxmlformats.org/officeDocument/2006/relationships/hyperlink" Target="https://archives.delaware.gov/delaware-historical-markers/milton-8/" TargetMode="External"/><Relationship Id="rId95" Type="http://schemas.openxmlformats.org/officeDocument/2006/relationships/hyperlink" Target="https://archives.delaware.gov/delaware-historical-markers/south-wilmington-cradle-of-african-american-political-leadership/" TargetMode="External"/><Relationship Id="rId160" Type="http://schemas.openxmlformats.org/officeDocument/2006/relationships/hyperlink" Target="https://archives.delaware.gov/wp-content/uploads/sites/156/2019/06/sc-208-25.jpg" TargetMode="External"/><Relationship Id="rId165" Type="http://schemas.openxmlformats.org/officeDocument/2006/relationships/hyperlink" Target="https://archives.delaware.gov/delaware-historical-markers/blades-united-methodist-church/" TargetMode="External"/><Relationship Id="rId181" Type="http://schemas.openxmlformats.org/officeDocument/2006/relationships/hyperlink" Target="https://archives.delaware.gov/delaware-historical-markers/milfords-first-methodist-church/" TargetMode="External"/><Relationship Id="rId186" Type="http://schemas.openxmlformats.org/officeDocument/2006/relationships/printerSettings" Target="../printerSettings/printerSettings1.bin"/><Relationship Id="rId22" Type="http://schemas.openxmlformats.org/officeDocument/2006/relationships/hyperlink" Target="https://archives.delaware.gov/wp-content/uploads/sites/156/2019/06/ncc-007-2.jpg" TargetMode="External"/><Relationship Id="rId27" Type="http://schemas.openxmlformats.org/officeDocument/2006/relationships/hyperlink" Target="https://archives.delaware.gov/delaware-historical-markers/bombardment-of-lewes/" TargetMode="External"/><Relationship Id="rId43" Type="http://schemas.openxmlformats.org/officeDocument/2006/relationships/hyperlink" Target="https://archives.delaware.gov/delaware-historical-markers/slaughter-neck-united-methodist-church/" TargetMode="External"/><Relationship Id="rId48" Type="http://schemas.openxmlformats.org/officeDocument/2006/relationships/hyperlink" Target="https://archives.delaware.gov/wp-content/uploads/sites/156/2019/06/ncc_222-2.jpg" TargetMode="External"/><Relationship Id="rId64" Type="http://schemas.openxmlformats.org/officeDocument/2006/relationships/hyperlink" Target="https://archives.delaware.gov/delaware-historical-markers/annie-oakleys-first-armed-female-prison-guards-united-states/" TargetMode="External"/><Relationship Id="rId69" Type="http://schemas.openxmlformats.org/officeDocument/2006/relationships/hyperlink" Target="https://archives.delaware.gov/wp-content/uploads/sites/156/2019/06/NCC-232.jpeg" TargetMode="External"/><Relationship Id="rId113" Type="http://schemas.openxmlformats.org/officeDocument/2006/relationships/hyperlink" Target="https://archives.delaware.gov/delaware-historical-markers/st-jones-neck-site-settlement-1660s/" TargetMode="External"/><Relationship Id="rId118" Type="http://schemas.openxmlformats.org/officeDocument/2006/relationships/hyperlink" Target="https://archives.delaware.gov/delaware-historical-markers/delaware-state-college/" TargetMode="External"/><Relationship Id="rId134" Type="http://schemas.openxmlformats.org/officeDocument/2006/relationships/hyperlink" Target="https://archives.delaware.gov/delaware-historical-markers/zwaanendael-club/" TargetMode="External"/><Relationship Id="rId139" Type="http://schemas.openxmlformats.org/officeDocument/2006/relationships/hyperlink" Target="https://archives.delaware.gov/delaware-historical-markers/zion-united-methodist-church/" TargetMode="External"/><Relationship Id="rId80" Type="http://schemas.openxmlformats.org/officeDocument/2006/relationships/hyperlink" Target="https://archives.delaware.gov/delaware-historical-markers/rockland-mill-village/" TargetMode="External"/><Relationship Id="rId85" Type="http://schemas.openxmlformats.org/officeDocument/2006/relationships/hyperlink" Target="https://archives.delaware.gov/delaware-historical-markers/welsh-tract-47/" TargetMode="External"/><Relationship Id="rId150" Type="http://schemas.openxmlformats.org/officeDocument/2006/relationships/hyperlink" Target="https://archives.delaware.gov/wp-content/uploads/sites/156/2019/06/ncc-124-25.jpg" TargetMode="External"/><Relationship Id="rId155" Type="http://schemas.openxmlformats.org/officeDocument/2006/relationships/hyperlink" Target="https://archives.delaware.gov/delaware-historical-markers/little-creek-hundred-4/" TargetMode="External"/><Relationship Id="rId171" Type="http://schemas.openxmlformats.org/officeDocument/2006/relationships/hyperlink" Target="https://archives.delaware.gov/delaware-historical-markers/dover-34/" TargetMode="External"/><Relationship Id="rId176" Type="http://schemas.openxmlformats.org/officeDocument/2006/relationships/hyperlink" Target="https://archives.delaware.gov/delaware-historical-markers/port-penn-front-range-light/" TargetMode="External"/><Relationship Id="rId12" Type="http://schemas.openxmlformats.org/officeDocument/2006/relationships/hyperlink" Target="https://archives.delaware.gov/delaware-historical-markers/village-of-montchanin/" TargetMode="External"/><Relationship Id="rId17" Type="http://schemas.openxmlformats.org/officeDocument/2006/relationships/hyperlink" Target="https://archives.delaware.gov/delaware-historical-markers/murderkill-motherkiln-friends-meeting/" TargetMode="External"/><Relationship Id="rId33" Type="http://schemas.openxmlformats.org/officeDocument/2006/relationships/hyperlink" Target="https://archives.delaware.gov/delaware-historical-markers/rodney-square/" TargetMode="External"/><Relationship Id="rId38" Type="http://schemas.openxmlformats.org/officeDocument/2006/relationships/hyperlink" Target="https://archives.delaware.gov/wp-content/uploads/sites/156/2019/06/kc-64-2.jpg" TargetMode="External"/><Relationship Id="rId59" Type="http://schemas.openxmlformats.org/officeDocument/2006/relationships/hyperlink" Target="https://archives.delaware.gov/wp-content/uploads/sites/156/2023/12/KC-109.jpg" TargetMode="External"/><Relationship Id="rId103" Type="http://schemas.openxmlformats.org/officeDocument/2006/relationships/hyperlink" Target="https://archives.delaware.gov/delaware-historical-markers/gravesite-of-bishop-peter-spencer-and-his-devoted-wife-annes/" TargetMode="External"/><Relationship Id="rId108" Type="http://schemas.openxmlformats.org/officeDocument/2006/relationships/hyperlink" Target="https://archives.delaware.gov/delaware-historical-markers/townsend/" TargetMode="External"/><Relationship Id="rId124" Type="http://schemas.openxmlformats.org/officeDocument/2006/relationships/hyperlink" Target="https://archives.delaware.gov/delaware-historical-markers/rescue-house-prayer-temple-deliverance/" TargetMode="External"/><Relationship Id="rId129" Type="http://schemas.openxmlformats.org/officeDocument/2006/relationships/hyperlink" Target="https://archives.delaware.gov/delaware-historical-markers/bethany-united-methodist-church-lowes-crossroads/" TargetMode="External"/><Relationship Id="rId54" Type="http://schemas.openxmlformats.org/officeDocument/2006/relationships/hyperlink" Target="https://archives.delaware.gov/wp-content/uploads/sites/156/2019/06/sc-188-2.jpg" TargetMode="External"/><Relationship Id="rId70" Type="http://schemas.openxmlformats.org/officeDocument/2006/relationships/hyperlink" Target="https://archives.delaware.gov/delaware-historical-markers/edward-redfield/" TargetMode="External"/><Relationship Id="rId75" Type="http://schemas.openxmlformats.org/officeDocument/2006/relationships/hyperlink" Target="https://archives.delaware.gov/delaware-historical-markers/milton-theatre/" TargetMode="External"/><Relationship Id="rId91" Type="http://schemas.openxmlformats.org/officeDocument/2006/relationships/hyperlink" Target="https://archives.delaware.gov/delaware-historical-markers/surf-safety-line/" TargetMode="External"/><Relationship Id="rId96" Type="http://schemas.openxmlformats.org/officeDocument/2006/relationships/hyperlink" Target="https://archives.delaware.gov/delaware-historical-markers/coming-of-the-railroad/" TargetMode="External"/><Relationship Id="rId140" Type="http://schemas.openxmlformats.org/officeDocument/2006/relationships/hyperlink" Target="https://archives.delaware.gov/delaware-historical-markers/mount-olivet-united-methodist-church-seaford/" TargetMode="External"/><Relationship Id="rId145" Type="http://schemas.openxmlformats.org/officeDocument/2006/relationships/hyperlink" Target="https://archives.delaware.gov/delaware-historical-markers/gunning-bedford-house/" TargetMode="External"/><Relationship Id="rId161" Type="http://schemas.openxmlformats.org/officeDocument/2006/relationships/hyperlink" Target="https://archives.delaware.gov/delaware-historical-markers/cedar-creek-hundred-27/" TargetMode="External"/><Relationship Id="rId166" Type="http://schemas.openxmlformats.org/officeDocument/2006/relationships/hyperlink" Target="https://archives.delaware.gov/wp-content/uploads/sites/156/2019/06/sc-100-25.jpg" TargetMode="External"/><Relationship Id="rId182" Type="http://schemas.openxmlformats.org/officeDocument/2006/relationships/hyperlink" Target="https://archives.delaware.gov/delaware-historical-markers/little-creek-hundred-12/" TargetMode="External"/><Relationship Id="rId187" Type="http://schemas.openxmlformats.org/officeDocument/2006/relationships/table" Target="../tables/table1.xml"/><Relationship Id="rId1" Type="http://schemas.openxmlformats.org/officeDocument/2006/relationships/hyperlink" Target="https://archives.delaware.gov/delaware-historical-markers/blackwater-presbyterian-church/" TargetMode="External"/><Relationship Id="rId6" Type="http://schemas.openxmlformats.org/officeDocument/2006/relationships/hyperlink" Target="https://archives.delaware.gov/wp-content/uploads/sites/156/2019/06/ncc_110_2.jpg" TargetMode="External"/><Relationship Id="rId23" Type="http://schemas.openxmlformats.org/officeDocument/2006/relationships/hyperlink" Target="https://archives.delaware.gov/delaware-historical-markers/harvey-barn/" TargetMode="External"/><Relationship Id="rId28" Type="http://schemas.openxmlformats.org/officeDocument/2006/relationships/hyperlink" Target="https://archives.delaware.gov/wp-content/uploads/sites/156/2019/06/sc-167-2.jpg" TargetMode="External"/><Relationship Id="rId49" Type="http://schemas.openxmlformats.org/officeDocument/2006/relationships/hyperlink" Target="https://archives.delaware.gov/delaware-historical-markers/memorial-day-parade-and-soldiers-and-sailors-monument/" TargetMode="External"/><Relationship Id="rId114" Type="http://schemas.openxmlformats.org/officeDocument/2006/relationships/hyperlink" Target="https://archives.delaware.gov/delaware-historical-markers/kent-countys-first-presbyterian-church/" TargetMode="External"/><Relationship Id="rId119" Type="http://schemas.openxmlformats.org/officeDocument/2006/relationships/hyperlink" Target="https://archives.delaware.gov/delaware-historical-markers/parson-thorne-mansion-silver-hill/" TargetMode="External"/><Relationship Id="rId44" Type="http://schemas.openxmlformats.org/officeDocument/2006/relationships/hyperlink" Target="https://archives.delaware.gov/wp-content/uploads/sites/156/2019/06/sc-115-2.jpg" TargetMode="External"/><Relationship Id="rId60" Type="http://schemas.openxmlformats.org/officeDocument/2006/relationships/hyperlink" Target="https://archives.delaware.gov/delaware-historical-markers/bishop-richard-allen/" TargetMode="External"/><Relationship Id="rId65" Type="http://schemas.openxmlformats.org/officeDocument/2006/relationships/hyperlink" Target="https://archives.delaware.gov/delaware-historical-markers/first-in-the-world-post-14-american-legion-ambulance-service/" TargetMode="External"/><Relationship Id="rId81" Type="http://schemas.openxmlformats.org/officeDocument/2006/relationships/hyperlink" Target="https://archives.delaware.gov/delaware-historical-markers/absalom-jones/" TargetMode="External"/><Relationship Id="rId86" Type="http://schemas.openxmlformats.org/officeDocument/2006/relationships/hyperlink" Target="https://archives.delaware.gov/delaware-historical-markers/hickory-hill-methodist-church/" TargetMode="External"/><Relationship Id="rId130" Type="http://schemas.openxmlformats.org/officeDocument/2006/relationships/hyperlink" Target="https://archives.delaware.gov/delaware-historical-markers/academy-masonic-hall/" TargetMode="External"/><Relationship Id="rId135" Type="http://schemas.openxmlformats.org/officeDocument/2006/relationships/hyperlink" Target="https://archives.delaware.gov/delaware-historical-markers/st-john-the-baptist-episcopal-church/" TargetMode="External"/><Relationship Id="rId151" Type="http://schemas.openxmlformats.org/officeDocument/2006/relationships/hyperlink" Target="https://archives.delaware.gov/delaware-historical-markers/st-paul-ame-church/" TargetMode="External"/><Relationship Id="rId156" Type="http://schemas.openxmlformats.org/officeDocument/2006/relationships/hyperlink" Target="https://archives.delaware.gov/wp-content/uploads/sites/156/2019/06/kc-004-25.jpg" TargetMode="External"/><Relationship Id="rId177" Type="http://schemas.openxmlformats.org/officeDocument/2006/relationships/hyperlink" Target="https://archives.delaware.gov/delaware-historical-markers/grand-lodge-delaware/" TargetMode="External"/><Relationship Id="rId172" Type="http://schemas.openxmlformats.org/officeDocument/2006/relationships/hyperlink" Target="https://archives.delaware.gov/wp-content/uploads/sites/156/2019/06/nc-26-25.jpg" TargetMode="External"/><Relationship Id="rId13" Type="http://schemas.openxmlformats.org/officeDocument/2006/relationships/hyperlink" Target="https://archives.delaware.gov/wp-content/uploads/sites/156/2019/06/ncc-185-2.jpg" TargetMode="External"/><Relationship Id="rId18" Type="http://schemas.openxmlformats.org/officeDocument/2006/relationships/hyperlink" Target="https://archives.delaware.gov/wp-content/uploads/sites/156/2019/06/kc-090-2.jpg" TargetMode="External"/><Relationship Id="rId39" Type="http://schemas.openxmlformats.org/officeDocument/2006/relationships/hyperlink" Target="https://archives.delaware.gov/delaware-historical-markers/first-rural-free-delivery-route/" TargetMode="External"/><Relationship Id="rId109" Type="http://schemas.openxmlformats.org/officeDocument/2006/relationships/hyperlink" Target="https://archives.delaware.gov/delaware-historical-markers/mount-pleasant-me-church-and-parsonage/" TargetMode="External"/><Relationship Id="rId34" Type="http://schemas.openxmlformats.org/officeDocument/2006/relationships/hyperlink" Target="https://archives.delaware.gov/wp-content/uploads/sites/156/2019/06/ncc-226-2.jpg" TargetMode="External"/><Relationship Id="rId50" Type="http://schemas.openxmlformats.org/officeDocument/2006/relationships/hyperlink" Target="https://archives.delaware.gov/wp-content/uploads/sites/156/2023/11/ncc_250-2.jpg" TargetMode="External"/><Relationship Id="rId55" Type="http://schemas.openxmlformats.org/officeDocument/2006/relationships/hyperlink" Target="https://archives.delaware.gov/wp-content/uploads/sites/156/2019/06/sc-255.jpg" TargetMode="External"/><Relationship Id="rId76" Type="http://schemas.openxmlformats.org/officeDocument/2006/relationships/hyperlink" Target="https://archives.delaware.gov/delaware-historical-markers/clayton/" TargetMode="External"/><Relationship Id="rId97" Type="http://schemas.openxmlformats.org/officeDocument/2006/relationships/hyperlink" Target="https://archives.delaware.gov/delaware-historical-markers/smyrna-opera-house-and-town-hall/" TargetMode="External"/><Relationship Id="rId104" Type="http://schemas.openxmlformats.org/officeDocument/2006/relationships/hyperlink" Target="https://archives.delaware.gov/delaware-historical-markers/dupont-powder-mills/" TargetMode="External"/><Relationship Id="rId120" Type="http://schemas.openxmlformats.org/officeDocument/2006/relationships/hyperlink" Target="https://archives.delaware.gov/delaware-historical-markers/capitol-theater/" TargetMode="External"/><Relationship Id="rId125" Type="http://schemas.openxmlformats.org/officeDocument/2006/relationships/hyperlink" Target="https://archives.delaware.gov/delaware-historical-markers/thomas-d-clayton-school/" TargetMode="External"/><Relationship Id="rId141" Type="http://schemas.openxmlformats.org/officeDocument/2006/relationships/hyperlink" Target="https://archives.delaware.gov/delaware-historical-markers/broadkiln-hundred-29/" TargetMode="External"/><Relationship Id="rId146" Type="http://schemas.openxmlformats.org/officeDocument/2006/relationships/hyperlink" Target="https://archives.delaware.gov/wp-content/uploads/sites/156/2019/06/nc-a9-25.jpg" TargetMode="External"/><Relationship Id="rId167" Type="http://schemas.openxmlformats.org/officeDocument/2006/relationships/hyperlink" Target="https://archives.delaware.gov/delaware-historical-markers/chippey-african-union-methodist-church/" TargetMode="External"/><Relationship Id="rId7" Type="http://schemas.openxmlformats.org/officeDocument/2006/relationships/hyperlink" Target="https://archives.delaware.gov/delaware-historical-markers/crooked-billet/" TargetMode="External"/><Relationship Id="rId71" Type="http://schemas.openxmlformats.org/officeDocument/2006/relationships/hyperlink" Target="https://archives.delaware.gov/delaware-historical-markers/conleys-chapel/" TargetMode="External"/><Relationship Id="rId92" Type="http://schemas.openxmlformats.org/officeDocument/2006/relationships/hyperlink" Target="https://archives.delaware.gov/delaware-historical-markers/caesar-rodney-school-district/" TargetMode="External"/><Relationship Id="rId162" Type="http://schemas.openxmlformats.org/officeDocument/2006/relationships/hyperlink" Target="https://archives.delaware.gov/wp-content/uploads/sites/156/2019/06/sc-207-25.jpg" TargetMode="External"/><Relationship Id="rId183" Type="http://schemas.openxmlformats.org/officeDocument/2006/relationships/hyperlink" Target="https://archives.delaware.gov/delaware-historical-markers/st-johns-methodist-church/" TargetMode="External"/><Relationship Id="rId2" Type="http://schemas.openxmlformats.org/officeDocument/2006/relationships/hyperlink" Target="https://archives.delaware.gov/wp-content/uploads/sites/156/2019/06/sc-190-2.jpg" TargetMode="External"/><Relationship Id="rId29" Type="http://schemas.openxmlformats.org/officeDocument/2006/relationships/hyperlink" Target="https://archives.delaware.gov/delaware-historical-markers/richard-allen-school/" TargetMode="External"/><Relationship Id="rId24" Type="http://schemas.openxmlformats.org/officeDocument/2006/relationships/hyperlink" Target="https://archives.delaware.gov/wp-content/uploads/sites/156/2019/06/ncc_249-2.jpg" TargetMode="External"/><Relationship Id="rId40" Type="http://schemas.openxmlformats.org/officeDocument/2006/relationships/hyperlink" Target="https://archives.delaware.gov/wp-content/uploads/sites/156/2019/06/kc-61-2.jpg" TargetMode="External"/><Relationship Id="rId45" Type="http://schemas.openxmlformats.org/officeDocument/2006/relationships/hyperlink" Target="https://archives.delaware.gov/delaware-historical-markers/old-christ-church-63/" TargetMode="External"/><Relationship Id="rId66" Type="http://schemas.openxmlformats.org/officeDocument/2006/relationships/hyperlink" Target="https://archives.delaware.gov/delaware-historical-markers/woodys-diner/" TargetMode="External"/><Relationship Id="rId87" Type="http://schemas.openxmlformats.org/officeDocument/2006/relationships/hyperlink" Target="https://archives.delaware.gov/delaware-historical-markers/ocean-view-presbyterian-church/" TargetMode="External"/><Relationship Id="rId110" Type="http://schemas.openxmlformats.org/officeDocument/2006/relationships/hyperlink" Target="https://archives.delaware.gov/delaware-historical-markers/old-college-a3/" TargetMode="External"/><Relationship Id="rId115" Type="http://schemas.openxmlformats.org/officeDocument/2006/relationships/hyperlink" Target="https://archives.delaware.gov/delaware-historical-markers/the-allee-house/" TargetMode="External"/><Relationship Id="rId131" Type="http://schemas.openxmlformats.org/officeDocument/2006/relationships/hyperlink" Target="https://archives.delaware.gov/delaware-historical-markers/carey-storehouse/" TargetMode="External"/><Relationship Id="rId136" Type="http://schemas.openxmlformats.org/officeDocument/2006/relationships/hyperlink" Target="https://archives.delaware.gov/delaware-historical-markers/cape-henlopen-lighthouse-replica/" TargetMode="External"/><Relationship Id="rId157" Type="http://schemas.openxmlformats.org/officeDocument/2006/relationships/hyperlink" Target="https://archives.delaware.gov/delaware-historical-markers/harrington/" TargetMode="External"/><Relationship Id="rId178" Type="http://schemas.openxmlformats.org/officeDocument/2006/relationships/hyperlink" Target="https://archives.delaware.gov/delaware-historical-markers/town-of-little-creek/" TargetMode="External"/><Relationship Id="rId61" Type="http://schemas.openxmlformats.org/officeDocument/2006/relationships/hyperlink" Target="https://archives.delaware.gov/delaware-historical-markers/the-tina-fallon/" TargetMode="External"/><Relationship Id="rId82" Type="http://schemas.openxmlformats.org/officeDocument/2006/relationships/hyperlink" Target="https://archives.delaware.gov/delaware-historical-markers/the-judges/" TargetMode="External"/><Relationship Id="rId152" Type="http://schemas.openxmlformats.org/officeDocument/2006/relationships/hyperlink" Target="https://archives.delaware.gov/wp-content/uploads/sites/156/2019/06/kc-122-24.jpg" TargetMode="External"/><Relationship Id="rId173" Type="http://schemas.openxmlformats.org/officeDocument/2006/relationships/hyperlink" Target="https://archives.delaware.gov/delaware-historical-markers/calvary-baptist-church/" TargetMode="External"/><Relationship Id="rId19" Type="http://schemas.openxmlformats.org/officeDocument/2006/relationships/hyperlink" Target="https://archives.delaware.gov/delaware-historical-markers/milford-29/" TargetMode="External"/><Relationship Id="rId14" Type="http://schemas.openxmlformats.org/officeDocument/2006/relationships/hyperlink" Target="https://archives.delaware.gov/delaware-historical-markers/old-sound-methodist-church/" TargetMode="External"/><Relationship Id="rId30" Type="http://schemas.openxmlformats.org/officeDocument/2006/relationships/hyperlink" Target="https://archives.delaware.gov/wp-content/uploads/sites/156/2019/06/sc-249-2.jpg" TargetMode="External"/><Relationship Id="rId35" Type="http://schemas.openxmlformats.org/officeDocument/2006/relationships/hyperlink" Target="https://archives.delaware.gov/delaware-historical-markers/newark-union-church-and-cemetery/" TargetMode="External"/><Relationship Id="rId56" Type="http://schemas.openxmlformats.org/officeDocument/2006/relationships/hyperlink" Target="https://archives.delaware.gov/delaware-historical-markers/golden-fleece-tavern/" TargetMode="External"/><Relationship Id="rId77" Type="http://schemas.openxmlformats.org/officeDocument/2006/relationships/hyperlink" Target="https://archives.delaware.gov/delaware-historical-markers/site-first-whatcoat-church/" TargetMode="External"/><Relationship Id="rId100" Type="http://schemas.openxmlformats.org/officeDocument/2006/relationships/hyperlink" Target="https://archives.delaware.gov/delaware-historical-markers/daniel-nichols-house/" TargetMode="External"/><Relationship Id="rId105" Type="http://schemas.openxmlformats.org/officeDocument/2006/relationships/hyperlink" Target="https://archives.delaware.gov/delaware-historical-markers/howard-high-school/" TargetMode="External"/><Relationship Id="rId126" Type="http://schemas.openxmlformats.org/officeDocument/2006/relationships/hyperlink" Target="https://archives.delaware.gov/delaware-historical-markers/west-dover-hundred-12/" TargetMode="External"/><Relationship Id="rId147" Type="http://schemas.openxmlformats.org/officeDocument/2006/relationships/hyperlink" Target="https://archives.delaware.gov/delaware-historical-markers/blue-rock-community-club/" TargetMode="External"/><Relationship Id="rId168" Type="http://schemas.openxmlformats.org/officeDocument/2006/relationships/hyperlink" Target="https://archives.delaware.gov/delaware-historical-markers/claymont-stone-school/" TargetMode="External"/><Relationship Id="rId8" Type="http://schemas.openxmlformats.org/officeDocument/2006/relationships/hyperlink" Target="https://archives.delaware.gov/delaware-historical-markers/vinyard-shipbuilding/" TargetMode="External"/><Relationship Id="rId51" Type="http://schemas.openxmlformats.org/officeDocument/2006/relationships/hyperlink" Target="https://archives.delaware.gov/wp-content/uploads/sites/156/2019/06/ncc-132-2.jpg" TargetMode="External"/><Relationship Id="rId72" Type="http://schemas.openxmlformats.org/officeDocument/2006/relationships/hyperlink" Target="https://archives.delaware.gov/delaware-historical-markers/old-courthouse/" TargetMode="External"/><Relationship Id="rId93" Type="http://schemas.openxmlformats.org/officeDocument/2006/relationships/hyperlink" Target="https://archives.delaware.gov/delaware-historical-markers/sudler-house/" TargetMode="External"/><Relationship Id="rId98" Type="http://schemas.openxmlformats.org/officeDocument/2006/relationships/hyperlink" Target="https://archives.delaware.gov/delaware-historical-markers/delawares-jewish-community/" TargetMode="External"/><Relationship Id="rId121" Type="http://schemas.openxmlformats.org/officeDocument/2006/relationships/hyperlink" Target="https://archives.delaware.gov/delaware-historical-markers/octagonal-school-house/" TargetMode="External"/><Relationship Id="rId142" Type="http://schemas.openxmlformats.org/officeDocument/2006/relationships/hyperlink" Target="https://archives.delaware.gov/wp-content/uploads/sites/156/2019/06/sc-59.jpg" TargetMode="External"/><Relationship Id="rId163" Type="http://schemas.openxmlformats.org/officeDocument/2006/relationships/hyperlink" Target="https://archives.delaware.gov/delaware-historical-markers/highball-signal/" TargetMode="External"/><Relationship Id="rId184" Type="http://schemas.openxmlformats.org/officeDocument/2006/relationships/hyperlink" Target="https://archives.delaware.gov/delaware-historical-markers/grace-united-methodist-church-136/" TargetMode="External"/><Relationship Id="rId3" Type="http://schemas.openxmlformats.org/officeDocument/2006/relationships/hyperlink" Target="https://archives.delaware.gov/delaware-historical-markers/observation-tower-at-big-stone-beach/" TargetMode="External"/><Relationship Id="rId25" Type="http://schemas.openxmlformats.org/officeDocument/2006/relationships/hyperlink" Target="https://archives.delaware.gov/delaware-historical-markers/askekesky-acksquessance/" TargetMode="External"/><Relationship Id="rId46" Type="http://schemas.openxmlformats.org/officeDocument/2006/relationships/hyperlink" Target="https://archives.delaware.gov/wp-content/uploads/sites/156/2019/06/sc-63-2.jpg" TargetMode="External"/><Relationship Id="rId67" Type="http://schemas.openxmlformats.org/officeDocument/2006/relationships/hyperlink" Target="https://archives.delaware.gov/wp-content/uploads/sites/156/2022/08/ncc_125-2.jpg" TargetMode="External"/><Relationship Id="rId116" Type="http://schemas.openxmlformats.org/officeDocument/2006/relationships/hyperlink" Target="https://archives.delaware.gov/delaware-historical-markers/town-of-farmington/" TargetMode="External"/><Relationship Id="rId137" Type="http://schemas.openxmlformats.org/officeDocument/2006/relationships/hyperlink" Target="https://archives.delaware.gov/delaware-historical-markers/governor-john-collins/" TargetMode="External"/><Relationship Id="rId158" Type="http://schemas.openxmlformats.org/officeDocument/2006/relationships/hyperlink" Target="https://archives.delaware.gov/wp-content/uploads/sites/156/2019/06/kc-049-25.jpg" TargetMode="External"/><Relationship Id="rId20" Type="http://schemas.openxmlformats.org/officeDocument/2006/relationships/hyperlink" Target="https://archives.delaware.gov/wp-content/uploads/sites/156/2019/06/kc_029-2.jpg" TargetMode="External"/><Relationship Id="rId41" Type="http://schemas.openxmlformats.org/officeDocument/2006/relationships/hyperlink" Target="https://archives.delaware.gov/delaware-historical-markers/st-peters-episcopal-church/" TargetMode="External"/><Relationship Id="rId62" Type="http://schemas.openxmlformats.org/officeDocument/2006/relationships/hyperlink" Target="https://archives.delaware.gov/delaware-historical-markers/paul-laurence-dunbar-school/" TargetMode="External"/><Relationship Id="rId83" Type="http://schemas.openxmlformats.org/officeDocument/2006/relationships/hyperlink" Target="https://archives.delaware.gov/delaware-historical-markers/hiram-lodge-no-25/" TargetMode="External"/><Relationship Id="rId88" Type="http://schemas.openxmlformats.org/officeDocument/2006/relationships/hyperlink" Target="https://archives.delaware.gov/delaware-historical-markers/sign-of-the-ship-tavern-2/" TargetMode="External"/><Relationship Id="rId111" Type="http://schemas.openxmlformats.org/officeDocument/2006/relationships/hyperlink" Target="https://archives.delaware.gov/delaware-historical-markers/robert-kirkwood-jr/" TargetMode="External"/><Relationship Id="rId132" Type="http://schemas.openxmlformats.org/officeDocument/2006/relationships/hyperlink" Target="https://archives.delaware.gov/delaware-historical-markers/the-brick-hotel/" TargetMode="External"/><Relationship Id="rId153" Type="http://schemas.openxmlformats.org/officeDocument/2006/relationships/hyperlink" Target="https://archives.delaware.gov/delaware-historical-markers/cow-marsh-primitive-baptist-church/" TargetMode="External"/><Relationship Id="rId174" Type="http://schemas.openxmlformats.org/officeDocument/2006/relationships/hyperlink" Target="https://archives.delaware.gov/delaware-historical-markers/warner-mifflin/" TargetMode="External"/><Relationship Id="rId179" Type="http://schemas.openxmlformats.org/officeDocument/2006/relationships/hyperlink" Target="https://archives.delaware.gov/delaware-historical-markers/ridgely-house-built-1728/" TargetMode="External"/><Relationship Id="rId15" Type="http://schemas.openxmlformats.org/officeDocument/2006/relationships/hyperlink" Target="https://archives.delaware.gov/delaware-historical-markers/wesley-college/" TargetMode="External"/><Relationship Id="rId36" Type="http://schemas.openxmlformats.org/officeDocument/2006/relationships/hyperlink" Target="https://archives.delaware.gov/wp-content/uploads/sites/156/2019/06/ncc-255-2.jpg" TargetMode="External"/><Relationship Id="rId57" Type="http://schemas.openxmlformats.org/officeDocument/2006/relationships/hyperlink" Target="https://archives.delaware.gov/wp-content/uploads/sites/156/2019/06/kc-76-2.jpg" TargetMode="External"/><Relationship Id="rId106" Type="http://schemas.openxmlformats.org/officeDocument/2006/relationships/hyperlink" Target="https://archives.delaware.gov/delaware-historical-markers/old-drawyers/" TargetMode="External"/><Relationship Id="rId127" Type="http://schemas.openxmlformats.org/officeDocument/2006/relationships/hyperlink" Target="https://archives.delaware.gov/delaware-historical-markers/grace-united-methodist-church-142/" TargetMode="External"/><Relationship Id="rId10" Type="http://schemas.openxmlformats.org/officeDocument/2006/relationships/hyperlink" Target="https://archives.delaware.gov/delaware-historical-markers/citizens-hose-company/" TargetMode="External"/><Relationship Id="rId31" Type="http://schemas.openxmlformats.org/officeDocument/2006/relationships/hyperlink" Target="https://archives.delaware.gov/delaware-historical-markers/gumboro-hundred-57/" TargetMode="External"/><Relationship Id="rId52" Type="http://schemas.openxmlformats.org/officeDocument/2006/relationships/hyperlink" Target="https://archives.delaware.gov/wp-content/uploads/sites/156/2019/06/ncc-247.jpg" TargetMode="External"/><Relationship Id="rId73" Type="http://schemas.openxmlformats.org/officeDocument/2006/relationships/hyperlink" Target="https://archives.delaware.gov/delaware-historical-markers/block-house-pond/" TargetMode="External"/><Relationship Id="rId78" Type="http://schemas.openxmlformats.org/officeDocument/2006/relationships/hyperlink" Target="https://archives.delaware.gov/wp-content/uploads/sites/156/2019/06/kc_105-2.jpg" TargetMode="External"/><Relationship Id="rId94" Type="http://schemas.openxmlformats.org/officeDocument/2006/relationships/hyperlink" Target="https://archives.delaware.gov/delaware-historical-markers/frankford-united-methodist-church/" TargetMode="External"/><Relationship Id="rId99" Type="http://schemas.openxmlformats.org/officeDocument/2006/relationships/hyperlink" Target="https://archives.delaware.gov/delaware-historical-markers/william-judy-johnson-park/" TargetMode="External"/><Relationship Id="rId101" Type="http://schemas.openxmlformats.org/officeDocument/2006/relationships/hyperlink" Target="https://archives.delaware.gov/delaware-historical-markers/former-site-of-delcastle-prison-farm/" TargetMode="External"/><Relationship Id="rId122" Type="http://schemas.openxmlformats.org/officeDocument/2006/relationships/hyperlink" Target="https://archives.delaware.gov/delaware-historical-markers/king-georges-tavern/" TargetMode="External"/><Relationship Id="rId143" Type="http://schemas.openxmlformats.org/officeDocument/2006/relationships/hyperlink" Target="https://archives.delaware.gov/delaware-historical-markers/the-delaware-continentals/" TargetMode="External"/><Relationship Id="rId148" Type="http://schemas.openxmlformats.org/officeDocument/2006/relationships/hyperlink" Target="https://archives.delaware.gov/wp-content/uploads/sites/156/2019/06/nc-201-25.jpg" TargetMode="External"/><Relationship Id="rId164" Type="http://schemas.openxmlformats.org/officeDocument/2006/relationships/hyperlink" Target="https://archives.delaware.gov/wp-content/uploads/sites/156/2019/06/sc-69-25.jpg" TargetMode="External"/><Relationship Id="rId169" Type="http://schemas.openxmlformats.org/officeDocument/2006/relationships/hyperlink" Target="https://archives.delaware.gov/delaware-historical-markers/camden-friends-meeting-burial-place-of-john-hunn/" TargetMode="External"/><Relationship Id="rId185" Type="http://schemas.openxmlformats.org/officeDocument/2006/relationships/hyperlink" Target="https://archives.delaware.gov/delaware-historical-markers/asbury-united-methodist-church/" TargetMode="External"/><Relationship Id="rId4" Type="http://schemas.openxmlformats.org/officeDocument/2006/relationships/hyperlink" Target="https://archives.delaware.gov/wp-content/uploads/sites/156/2019/06/kc_115_2.jpg" TargetMode="External"/><Relationship Id="rId9" Type="http://schemas.openxmlformats.org/officeDocument/2006/relationships/hyperlink" Target="https://archives.delaware.gov/delaware-historical-markers/mount-lebanon-united-methodist-church/" TargetMode="External"/><Relationship Id="rId180" Type="http://schemas.openxmlformats.org/officeDocument/2006/relationships/hyperlink" Target="https://archives.delaware.gov/delaware-historical-markers/american-position-battle-of-coochs-brid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ED2AC-E860-4FD5-9779-4588AE3FCD8D}">
  <dimension ref="A1:Z744"/>
  <sheetViews>
    <sheetView tabSelected="1" zoomScaleNormal="100" workbookViewId="0">
      <pane ySplit="1" topLeftCell="A402" activePane="bottomLeft" state="frozen"/>
      <selection pane="bottomLeft" activeCell="C407" sqref="C407"/>
    </sheetView>
  </sheetViews>
  <sheetFormatPr defaultColWidth="55.42578125" defaultRowHeight="15" x14ac:dyDescent="0.25"/>
  <cols>
    <col min="1" max="1" width="14.5703125" style="239" customWidth="1"/>
    <col min="2" max="2" width="29.5703125" style="1" customWidth="1"/>
    <col min="3" max="3" width="37.5703125" style="1" customWidth="1"/>
    <col min="4" max="4" width="22.85546875" style="18" customWidth="1"/>
    <col min="5" max="5" width="47.5703125" style="21" customWidth="1"/>
    <col min="6" max="6" width="28.7109375" style="18" customWidth="1"/>
    <col min="7" max="7" width="17.5703125" style="18" customWidth="1"/>
    <col min="8" max="8" width="37.28515625" style="21" customWidth="1"/>
    <col min="9" max="9" width="48.85546875" style="29" customWidth="1"/>
    <col min="10" max="10" width="15.5703125" style="29" customWidth="1"/>
    <col min="11" max="11" width="14.5703125" style="18" customWidth="1"/>
    <col min="12" max="12" width="23.42578125" style="18" customWidth="1"/>
    <col min="13" max="13" width="23.42578125" style="29" customWidth="1"/>
    <col min="14" max="14" width="48.7109375" style="34" customWidth="1"/>
    <col min="15" max="15" width="20" style="9" customWidth="1"/>
    <col min="16" max="16" width="14.42578125" style="3" customWidth="1"/>
    <col min="17" max="17" width="23.42578125" style="3" customWidth="1"/>
    <col min="18" max="18" width="70.5703125" style="3" customWidth="1"/>
    <col min="19" max="19" width="56.5703125" style="3" customWidth="1"/>
    <col min="20" max="20" width="18.5703125" style="3" customWidth="1"/>
    <col min="21" max="21" width="37.5703125" style="3" customWidth="1"/>
    <col min="22" max="23" width="37.140625" style="8" customWidth="1"/>
    <col min="24" max="24" width="32.5703125" style="8" customWidth="1"/>
    <col min="25" max="25" width="58.42578125" style="11" customWidth="1"/>
    <col min="26" max="26" width="64.5703125" style="3" customWidth="1"/>
    <col min="27" max="27" width="8" style="3" customWidth="1"/>
    <col min="28" max="28" width="8.42578125" style="3" customWidth="1"/>
    <col min="29" max="29" width="9.42578125" style="3" customWidth="1"/>
    <col min="30" max="31" width="10.42578125" style="3" customWidth="1"/>
    <col min="32" max="32" width="8" style="3" customWidth="1"/>
    <col min="33" max="33" width="8.42578125" style="3" customWidth="1"/>
    <col min="34" max="34" width="9.42578125" style="3" customWidth="1"/>
    <col min="35" max="36" width="10.42578125" style="3" customWidth="1"/>
    <col min="37" max="37" width="8.42578125" style="3" customWidth="1"/>
    <col min="38" max="38" width="9.42578125" style="3" customWidth="1"/>
    <col min="39" max="47" width="10.42578125" style="3" customWidth="1"/>
    <col min="48" max="16384" width="55.42578125" style="3"/>
  </cols>
  <sheetData>
    <row r="1" spans="1:26" s="237" customFormat="1" ht="45" x14ac:dyDescent="0.25">
      <c r="A1" s="237" t="s">
        <v>0</v>
      </c>
      <c r="B1" s="237" t="s">
        <v>1</v>
      </c>
      <c r="C1" s="237" t="s">
        <v>2</v>
      </c>
      <c r="D1" s="236" t="s">
        <v>3</v>
      </c>
      <c r="E1" s="236" t="s">
        <v>4</v>
      </c>
      <c r="F1" s="236" t="s">
        <v>5</v>
      </c>
      <c r="G1" s="236" t="s">
        <v>6</v>
      </c>
      <c r="H1" s="236" t="s">
        <v>7</v>
      </c>
      <c r="I1" s="236" t="s">
        <v>8</v>
      </c>
      <c r="J1" s="236" t="s">
        <v>9</v>
      </c>
      <c r="K1" s="236" t="s">
        <v>10</v>
      </c>
      <c r="L1" s="236" t="s">
        <v>11</v>
      </c>
      <c r="M1" s="236" t="s">
        <v>12</v>
      </c>
      <c r="N1" s="236" t="s">
        <v>13</v>
      </c>
      <c r="O1" s="236" t="s">
        <v>14</v>
      </c>
      <c r="P1" s="236" t="s">
        <v>15</v>
      </c>
      <c r="Q1" s="236" t="s">
        <v>16</v>
      </c>
      <c r="R1" s="236" t="s">
        <v>17</v>
      </c>
      <c r="S1" s="236" t="s">
        <v>18</v>
      </c>
      <c r="T1" s="236" t="s">
        <v>19</v>
      </c>
      <c r="U1" s="237" t="s">
        <v>20</v>
      </c>
      <c r="V1" s="237" t="s">
        <v>21</v>
      </c>
      <c r="W1" s="237" t="s">
        <v>22</v>
      </c>
      <c r="X1" s="237" t="s">
        <v>23</v>
      </c>
      <c r="Y1" s="238" t="s">
        <v>24</v>
      </c>
      <c r="Z1" s="238" t="s">
        <v>25</v>
      </c>
    </row>
    <row r="2" spans="1:26" s="213" customFormat="1" ht="30" x14ac:dyDescent="0.25">
      <c r="A2" s="213" t="s">
        <v>26</v>
      </c>
      <c r="B2" s="213" t="s">
        <v>27</v>
      </c>
      <c r="C2" s="213" t="str">
        <f>A2&amp; " - "&amp;B2</f>
        <v>DE-001 - Delaware Public Archives</v>
      </c>
      <c r="D2" s="215" t="s">
        <v>28</v>
      </c>
      <c r="E2" s="215" t="s">
        <v>29</v>
      </c>
      <c r="F2" s="217" t="s">
        <v>30</v>
      </c>
      <c r="G2" s="218"/>
      <c r="H2" s="215" t="s">
        <v>31</v>
      </c>
      <c r="I2" s="219" t="s">
        <v>27</v>
      </c>
      <c r="J2" s="216">
        <v>17</v>
      </c>
      <c r="K2" s="216">
        <v>32</v>
      </c>
      <c r="L2" s="220" t="s">
        <v>32</v>
      </c>
      <c r="M2" s="220" t="s">
        <v>33</v>
      </c>
      <c r="N2" s="221" t="s">
        <v>34</v>
      </c>
      <c r="O2" s="214" t="s">
        <v>35</v>
      </c>
      <c r="P2" s="214">
        <v>19901</v>
      </c>
      <c r="Q2" s="222" t="s">
        <v>36</v>
      </c>
      <c r="R2" s="222" t="s">
        <v>37</v>
      </c>
      <c r="S2" s="214"/>
      <c r="T2" s="214" t="s">
        <v>38</v>
      </c>
      <c r="U2" s="217">
        <v>2025</v>
      </c>
      <c r="V2" s="224">
        <v>45776</v>
      </c>
      <c r="W2" s="217" t="s">
        <v>39</v>
      </c>
      <c r="X2" s="217"/>
      <c r="Y2" s="223"/>
      <c r="Z2" s="223"/>
    </row>
    <row r="3" spans="1:26" s="213" customFormat="1" ht="45" x14ac:dyDescent="0.25">
      <c r="A3" s="213" t="s">
        <v>40</v>
      </c>
      <c r="B3" s="213" t="s">
        <v>41</v>
      </c>
      <c r="C3" s="213" t="str">
        <f>A3&amp;" - "&amp;B3</f>
        <v>DE-002 - The State of Delaware Historical Markers Program</v>
      </c>
      <c r="D3" s="215" t="s">
        <v>28</v>
      </c>
      <c r="E3" s="215" t="s">
        <v>29</v>
      </c>
      <c r="F3" s="217" t="s">
        <v>42</v>
      </c>
      <c r="G3" s="218"/>
      <c r="H3" s="215" t="s">
        <v>31</v>
      </c>
      <c r="I3" s="219" t="s">
        <v>27</v>
      </c>
      <c r="J3" s="216">
        <v>17</v>
      </c>
      <c r="K3" s="216">
        <v>32</v>
      </c>
      <c r="L3" s="220" t="s">
        <v>43</v>
      </c>
      <c r="M3" s="220" t="s">
        <v>44</v>
      </c>
      <c r="N3" s="221" t="s">
        <v>34</v>
      </c>
      <c r="O3" s="214" t="s">
        <v>35</v>
      </c>
      <c r="P3" s="214">
        <v>19901</v>
      </c>
      <c r="Q3" s="222" t="s">
        <v>36</v>
      </c>
      <c r="R3" s="222" t="s">
        <v>37</v>
      </c>
      <c r="S3" s="214"/>
      <c r="T3" s="214" t="s">
        <v>38</v>
      </c>
      <c r="U3" s="217">
        <v>2025</v>
      </c>
      <c r="V3" s="224">
        <v>45776</v>
      </c>
      <c r="W3" s="217" t="s">
        <v>39</v>
      </c>
      <c r="X3" s="217"/>
      <c r="Y3" s="223"/>
      <c r="Z3" s="223"/>
    </row>
    <row r="4" spans="1:26" s="122" customFormat="1" ht="45" x14ac:dyDescent="0.25">
      <c r="A4" s="122" t="s">
        <v>45</v>
      </c>
      <c r="B4" s="122" t="s">
        <v>46</v>
      </c>
      <c r="C4" s="122" t="str">
        <f t="shared" ref="C4:C37" si="0">A4 &amp; " - " &amp; B4</f>
        <v>KC-001  - Duck Creek Hundred</v>
      </c>
      <c r="D4" s="124" t="s">
        <v>47</v>
      </c>
      <c r="E4" s="124" t="s">
        <v>29</v>
      </c>
      <c r="F4" s="125" t="s">
        <v>48</v>
      </c>
      <c r="G4" s="125" t="s">
        <v>48</v>
      </c>
      <c r="H4" s="124" t="s">
        <v>49</v>
      </c>
      <c r="I4" s="126" t="s">
        <v>50</v>
      </c>
      <c r="J4" s="123">
        <v>14</v>
      </c>
      <c r="K4" s="123">
        <v>28</v>
      </c>
      <c r="L4" s="133" t="s">
        <v>51</v>
      </c>
      <c r="M4" s="133" t="s">
        <v>52</v>
      </c>
      <c r="N4" s="128" t="s">
        <v>53</v>
      </c>
      <c r="O4" s="122" t="s">
        <v>54</v>
      </c>
      <c r="P4" s="122">
        <v>19977</v>
      </c>
      <c r="R4" s="122" t="s">
        <v>37</v>
      </c>
      <c r="S4" s="122" t="s">
        <v>55</v>
      </c>
      <c r="T4" s="122" t="s">
        <v>56</v>
      </c>
      <c r="U4" s="125">
        <v>1932</v>
      </c>
      <c r="V4" s="125">
        <v>1932</v>
      </c>
      <c r="W4" s="125" t="s">
        <v>39</v>
      </c>
      <c r="X4" s="125">
        <v>2022</v>
      </c>
      <c r="Y4" s="129" t="s">
        <v>57</v>
      </c>
      <c r="Z4" s="129" t="s">
        <v>58</v>
      </c>
    </row>
    <row r="5" spans="1:26" s="82" customFormat="1" ht="45" x14ac:dyDescent="0.25">
      <c r="A5" s="82" t="s">
        <v>59</v>
      </c>
      <c r="B5" s="82" t="s">
        <v>60</v>
      </c>
      <c r="C5" s="82" t="str">
        <f t="shared" si="0"/>
        <v>KC-002  - Commodore Jacob Jones</v>
      </c>
      <c r="D5" s="96" t="s">
        <v>61</v>
      </c>
      <c r="E5" s="96" t="s">
        <v>29</v>
      </c>
      <c r="F5" s="97" t="s">
        <v>62</v>
      </c>
      <c r="G5" s="97"/>
      <c r="H5" s="96" t="s">
        <v>63</v>
      </c>
      <c r="I5" s="99" t="s">
        <v>50</v>
      </c>
      <c r="J5" s="95">
        <v>14</v>
      </c>
      <c r="K5" s="95">
        <v>28</v>
      </c>
      <c r="L5" s="112">
        <v>39.299379999999999</v>
      </c>
      <c r="M5" s="112">
        <v>-75.601070000000007</v>
      </c>
      <c r="N5" s="101" t="s">
        <v>64</v>
      </c>
      <c r="O5" s="82" t="s">
        <v>54</v>
      </c>
      <c r="P5" s="82">
        <v>19977</v>
      </c>
      <c r="R5" s="82" t="s">
        <v>37</v>
      </c>
      <c r="S5" s="82" t="s">
        <v>65</v>
      </c>
      <c r="T5" s="82" t="s">
        <v>56</v>
      </c>
      <c r="U5" s="97">
        <v>1932</v>
      </c>
      <c r="V5" s="97">
        <v>1932</v>
      </c>
      <c r="W5" s="97" t="s">
        <v>66</v>
      </c>
      <c r="X5" s="97"/>
      <c r="Y5" s="102" t="s">
        <v>67</v>
      </c>
      <c r="Z5" s="102" t="s">
        <v>68</v>
      </c>
    </row>
    <row r="6" spans="1:26" s="134" customFormat="1" ht="45" x14ac:dyDescent="0.25">
      <c r="A6" s="134" t="s">
        <v>69</v>
      </c>
      <c r="B6" s="134" t="s">
        <v>46</v>
      </c>
      <c r="C6" s="134" t="str">
        <f t="shared" si="0"/>
        <v>KC-003  - Duck Creek Hundred</v>
      </c>
      <c r="D6" s="136" t="s">
        <v>70</v>
      </c>
      <c r="E6" s="136" t="s">
        <v>71</v>
      </c>
      <c r="F6" s="137" t="s">
        <v>48</v>
      </c>
      <c r="G6" s="137" t="s">
        <v>48</v>
      </c>
      <c r="H6" s="136" t="s">
        <v>72</v>
      </c>
      <c r="I6" s="138" t="s">
        <v>50</v>
      </c>
      <c r="J6" s="135">
        <v>14</v>
      </c>
      <c r="K6" s="135">
        <v>28</v>
      </c>
      <c r="L6" s="139">
        <v>39.244287</v>
      </c>
      <c r="M6" s="139">
        <v>-75.587877000000006</v>
      </c>
      <c r="N6" s="140" t="s">
        <v>73</v>
      </c>
      <c r="O6" s="134" t="s">
        <v>54</v>
      </c>
      <c r="P6" s="134">
        <v>19977</v>
      </c>
      <c r="R6" s="134" t="s">
        <v>37</v>
      </c>
      <c r="S6" s="134" t="s">
        <v>55</v>
      </c>
      <c r="T6" s="134" t="s">
        <v>56</v>
      </c>
      <c r="U6" s="137">
        <v>1932</v>
      </c>
      <c r="V6" s="137">
        <v>1932</v>
      </c>
      <c r="W6" s="137" t="s">
        <v>66</v>
      </c>
      <c r="X6" s="137"/>
      <c r="Y6" s="141"/>
      <c r="Z6" s="141"/>
    </row>
    <row r="7" spans="1:26" s="82" customFormat="1" ht="30" x14ac:dyDescent="0.25">
      <c r="A7" s="82" t="s">
        <v>74</v>
      </c>
      <c r="B7" s="82" t="s">
        <v>75</v>
      </c>
      <c r="C7" s="82" t="str">
        <f t="shared" si="0"/>
        <v>KC-004  - Little Creek Hundred</v>
      </c>
      <c r="D7" s="115" t="s">
        <v>76</v>
      </c>
      <c r="E7" s="96" t="s">
        <v>29</v>
      </c>
      <c r="F7" s="97" t="s">
        <v>48</v>
      </c>
      <c r="G7" s="97" t="s">
        <v>48</v>
      </c>
      <c r="H7" s="96" t="s">
        <v>77</v>
      </c>
      <c r="I7" s="99" t="s">
        <v>50</v>
      </c>
      <c r="J7" s="95">
        <v>14</v>
      </c>
      <c r="K7" s="95">
        <v>29</v>
      </c>
      <c r="L7" s="112">
        <v>39.242440000000002</v>
      </c>
      <c r="M7" s="112">
        <v>-75.587410000000006</v>
      </c>
      <c r="N7" s="101"/>
      <c r="O7" s="82" t="s">
        <v>35</v>
      </c>
      <c r="P7" s="82">
        <v>19904</v>
      </c>
      <c r="Q7" s="82" t="s">
        <v>78</v>
      </c>
      <c r="R7" s="82" t="s">
        <v>37</v>
      </c>
      <c r="T7" s="82" t="s">
        <v>56</v>
      </c>
      <c r="U7" s="97">
        <v>1932</v>
      </c>
      <c r="V7" s="97">
        <v>1932</v>
      </c>
      <c r="W7" s="97" t="s">
        <v>66</v>
      </c>
      <c r="X7" s="97">
        <v>1966</v>
      </c>
      <c r="Y7" s="131" t="s">
        <v>79</v>
      </c>
      <c r="Z7" s="131" t="s">
        <v>80</v>
      </c>
    </row>
    <row r="8" spans="1:26" s="82" customFormat="1" ht="40.5" x14ac:dyDescent="0.25">
      <c r="A8" s="82" t="s">
        <v>81</v>
      </c>
      <c r="B8" s="82" t="s">
        <v>82</v>
      </c>
      <c r="C8" s="82" t="str">
        <f t="shared" si="0"/>
        <v>KC-005  - Little Creek Hundred (Cheswold)</v>
      </c>
      <c r="D8" s="96" t="s">
        <v>83</v>
      </c>
      <c r="E8" s="96" t="s">
        <v>29</v>
      </c>
      <c r="F8" s="97" t="s">
        <v>48</v>
      </c>
      <c r="G8" s="97" t="s">
        <v>48</v>
      </c>
      <c r="H8" s="96" t="s">
        <v>84</v>
      </c>
      <c r="I8" s="99" t="s">
        <v>50</v>
      </c>
      <c r="J8" s="95">
        <v>14</v>
      </c>
      <c r="K8" s="95">
        <v>29</v>
      </c>
      <c r="L8" s="112">
        <v>39.219450000000002</v>
      </c>
      <c r="M8" s="112">
        <v>-75.585710000000006</v>
      </c>
      <c r="N8" s="101" t="s">
        <v>85</v>
      </c>
      <c r="O8" s="82" t="s">
        <v>86</v>
      </c>
      <c r="P8" s="82">
        <v>19936</v>
      </c>
      <c r="R8" s="82" t="s">
        <v>37</v>
      </c>
      <c r="T8" s="82" t="s">
        <v>56</v>
      </c>
      <c r="U8" s="97">
        <v>1932</v>
      </c>
      <c r="V8" s="97">
        <v>1932</v>
      </c>
      <c r="W8" s="97" t="s">
        <v>66</v>
      </c>
      <c r="X8" s="97">
        <v>1966</v>
      </c>
      <c r="Y8" s="102" t="s">
        <v>87</v>
      </c>
      <c r="Z8" s="102" t="s">
        <v>88</v>
      </c>
    </row>
    <row r="9" spans="1:26" s="82" customFormat="1" ht="30" x14ac:dyDescent="0.25">
      <c r="A9" s="82" t="s">
        <v>89</v>
      </c>
      <c r="B9" s="82" t="s">
        <v>90</v>
      </c>
      <c r="C9" s="82" t="str">
        <f t="shared" si="0"/>
        <v>KC-006  - Kenton Hundred</v>
      </c>
      <c r="D9" s="96" t="s">
        <v>91</v>
      </c>
      <c r="E9" s="96" t="s">
        <v>29</v>
      </c>
      <c r="F9" s="97" t="s">
        <v>48</v>
      </c>
      <c r="G9" s="97" t="s">
        <v>48</v>
      </c>
      <c r="H9" s="96" t="s">
        <v>92</v>
      </c>
      <c r="I9" s="99" t="s">
        <v>50</v>
      </c>
      <c r="J9" s="95">
        <v>15</v>
      </c>
      <c r="K9" s="95">
        <v>29</v>
      </c>
      <c r="L9" s="112">
        <v>39.21904</v>
      </c>
      <c r="M9" s="112">
        <v>-75.587180000000004</v>
      </c>
      <c r="N9" s="101" t="s">
        <v>93</v>
      </c>
      <c r="O9" s="82" t="s">
        <v>86</v>
      </c>
      <c r="P9" s="82">
        <v>19936</v>
      </c>
      <c r="R9" s="82" t="s">
        <v>37</v>
      </c>
      <c r="S9" s="82" t="s">
        <v>94</v>
      </c>
      <c r="T9" s="82" t="s">
        <v>56</v>
      </c>
      <c r="U9" s="97">
        <v>1932</v>
      </c>
      <c r="V9" s="97">
        <v>1932</v>
      </c>
      <c r="W9" s="97" t="s">
        <v>66</v>
      </c>
      <c r="X9" s="97"/>
      <c r="Y9" s="102" t="s">
        <v>95</v>
      </c>
      <c r="Z9" s="103" t="s">
        <v>96</v>
      </c>
    </row>
    <row r="10" spans="1:26" s="104" customFormat="1" x14ac:dyDescent="0.25">
      <c r="A10" s="104" t="s">
        <v>97</v>
      </c>
      <c r="B10" s="104" t="s">
        <v>90</v>
      </c>
      <c r="C10" s="104" t="str">
        <f t="shared" si="0"/>
        <v>KC-007  - Kenton Hundred</v>
      </c>
      <c r="D10" s="106" t="s">
        <v>98</v>
      </c>
      <c r="E10" s="106" t="s">
        <v>71</v>
      </c>
      <c r="F10" s="107" t="s">
        <v>48</v>
      </c>
      <c r="G10" s="107" t="s">
        <v>48</v>
      </c>
      <c r="H10" s="106"/>
      <c r="I10" s="108" t="s">
        <v>50</v>
      </c>
      <c r="J10" s="105">
        <v>15</v>
      </c>
      <c r="K10" s="105">
        <v>11</v>
      </c>
      <c r="L10" s="142" t="s">
        <v>99</v>
      </c>
      <c r="M10" s="109">
        <v>-75.745440000000002</v>
      </c>
      <c r="N10" s="110" t="s">
        <v>100</v>
      </c>
      <c r="O10" s="104" t="s">
        <v>101</v>
      </c>
      <c r="P10" s="104">
        <v>19938</v>
      </c>
      <c r="R10" s="104" t="s">
        <v>37</v>
      </c>
      <c r="T10" s="104" t="s">
        <v>56</v>
      </c>
      <c r="U10" s="107">
        <v>1932</v>
      </c>
      <c r="V10" s="107">
        <v>1932</v>
      </c>
      <c r="W10" s="107" t="s">
        <v>66</v>
      </c>
      <c r="X10" s="107"/>
      <c r="Y10" s="111"/>
      <c r="Z10" s="111"/>
    </row>
    <row r="11" spans="1:26" s="104" customFormat="1" ht="30" x14ac:dyDescent="0.25">
      <c r="A11" s="104" t="s">
        <v>102</v>
      </c>
      <c r="B11" s="104" t="s">
        <v>75</v>
      </c>
      <c r="C11" s="104" t="str">
        <f t="shared" si="0"/>
        <v>KC-008  - Little Creek Hundred</v>
      </c>
      <c r="D11" s="106" t="s">
        <v>98</v>
      </c>
      <c r="E11" s="106" t="s">
        <v>71</v>
      </c>
      <c r="F11" s="107" t="s">
        <v>48</v>
      </c>
      <c r="G11" s="107" t="s">
        <v>48</v>
      </c>
      <c r="H11" s="106"/>
      <c r="I11" s="108" t="s">
        <v>50</v>
      </c>
      <c r="J11" s="105">
        <v>17</v>
      </c>
      <c r="K11" s="105">
        <v>29</v>
      </c>
      <c r="L11" s="143" t="s">
        <v>103</v>
      </c>
      <c r="M11" s="143" t="s">
        <v>104</v>
      </c>
      <c r="N11" s="110" t="s">
        <v>105</v>
      </c>
      <c r="R11" s="104" t="s">
        <v>37</v>
      </c>
      <c r="S11" s="104" t="s">
        <v>106</v>
      </c>
      <c r="T11" s="104" t="s">
        <v>56</v>
      </c>
      <c r="U11" s="107" t="s">
        <v>66</v>
      </c>
      <c r="V11" s="107"/>
      <c r="W11" s="107" t="s">
        <v>66</v>
      </c>
      <c r="X11" s="107"/>
      <c r="Y11" s="111"/>
      <c r="Z11" s="111"/>
    </row>
    <row r="12" spans="1:26" s="104" customFormat="1" ht="30" x14ac:dyDescent="0.25">
      <c r="A12" s="104" t="s">
        <v>107</v>
      </c>
      <c r="B12" s="104" t="s">
        <v>108</v>
      </c>
      <c r="C12" s="104" t="str">
        <f t="shared" si="0"/>
        <v>KC-009  - East Dover Hundred</v>
      </c>
      <c r="D12" s="106" t="s">
        <v>98</v>
      </c>
      <c r="E12" s="106" t="s">
        <v>71</v>
      </c>
      <c r="F12" s="107" t="s">
        <v>48</v>
      </c>
      <c r="G12" s="107" t="s">
        <v>48</v>
      </c>
      <c r="H12" s="106"/>
      <c r="I12" s="108" t="s">
        <v>50</v>
      </c>
      <c r="J12" s="105">
        <v>17</v>
      </c>
      <c r="K12" s="105">
        <v>29</v>
      </c>
      <c r="L12" s="143" t="s">
        <v>109</v>
      </c>
      <c r="M12" s="105" t="s">
        <v>110</v>
      </c>
      <c r="N12" s="110" t="s">
        <v>111</v>
      </c>
      <c r="O12" s="104" t="s">
        <v>35</v>
      </c>
      <c r="P12" s="104">
        <v>19904</v>
      </c>
      <c r="R12" s="104" t="s">
        <v>37</v>
      </c>
      <c r="S12" s="104" t="s">
        <v>112</v>
      </c>
      <c r="U12" s="107" t="s">
        <v>66</v>
      </c>
      <c r="V12" s="107"/>
      <c r="W12" s="107" t="s">
        <v>66</v>
      </c>
      <c r="X12" s="107"/>
      <c r="Y12" s="111"/>
      <c r="Z12" s="111"/>
    </row>
    <row r="13" spans="1:26" s="82" customFormat="1" ht="45" x14ac:dyDescent="0.25">
      <c r="A13" s="82" t="s">
        <v>113</v>
      </c>
      <c r="B13" s="82" t="s">
        <v>114</v>
      </c>
      <c r="C13" s="82" t="str">
        <f t="shared" si="0"/>
        <v>KC-010  - West Dover Hundred</v>
      </c>
      <c r="D13" s="96" t="s">
        <v>115</v>
      </c>
      <c r="E13" s="96" t="s">
        <v>29</v>
      </c>
      <c r="F13" s="97" t="s">
        <v>48</v>
      </c>
      <c r="G13" s="97" t="s">
        <v>48</v>
      </c>
      <c r="H13" s="96" t="s">
        <v>116</v>
      </c>
      <c r="I13" s="99" t="s">
        <v>50</v>
      </c>
      <c r="J13" s="95">
        <v>17</v>
      </c>
      <c r="K13" s="95">
        <v>31</v>
      </c>
      <c r="L13" s="100" t="s">
        <v>117</v>
      </c>
      <c r="M13" s="95" t="s">
        <v>118</v>
      </c>
      <c r="N13" s="101" t="s">
        <v>119</v>
      </c>
      <c r="O13" s="82" t="s">
        <v>35</v>
      </c>
      <c r="P13" s="82">
        <v>19904</v>
      </c>
      <c r="Q13" s="82" t="s">
        <v>120</v>
      </c>
      <c r="R13" s="82" t="s">
        <v>37</v>
      </c>
      <c r="S13" s="82" t="s">
        <v>121</v>
      </c>
      <c r="T13" s="82" t="s">
        <v>56</v>
      </c>
      <c r="U13" s="97">
        <v>1932</v>
      </c>
      <c r="V13" s="97">
        <v>1932</v>
      </c>
      <c r="W13" s="97" t="s">
        <v>39</v>
      </c>
      <c r="X13" s="97">
        <v>2015</v>
      </c>
      <c r="Y13" s="102" t="s">
        <v>122</v>
      </c>
      <c r="Z13" s="102" t="s">
        <v>123</v>
      </c>
    </row>
    <row r="14" spans="1:26" s="104" customFormat="1" ht="30" x14ac:dyDescent="0.25">
      <c r="A14" s="104" t="s">
        <v>124</v>
      </c>
      <c r="B14" s="104" t="s">
        <v>108</v>
      </c>
      <c r="C14" s="104" t="str">
        <f t="shared" si="0"/>
        <v>KC-011  - East Dover Hundred</v>
      </c>
      <c r="D14" s="106" t="s">
        <v>98</v>
      </c>
      <c r="E14" s="106" t="s">
        <v>71</v>
      </c>
      <c r="F14" s="107" t="s">
        <v>48</v>
      </c>
      <c r="G14" s="107" t="s">
        <v>48</v>
      </c>
      <c r="H14" s="106"/>
      <c r="I14" s="108" t="s">
        <v>50</v>
      </c>
      <c r="J14" s="105">
        <v>15</v>
      </c>
      <c r="K14" s="105">
        <v>29</v>
      </c>
      <c r="L14" s="143" t="s">
        <v>125</v>
      </c>
      <c r="M14" s="105" t="s">
        <v>126</v>
      </c>
      <c r="N14" s="110" t="s">
        <v>127</v>
      </c>
      <c r="R14" s="104" t="s">
        <v>37</v>
      </c>
      <c r="S14" s="104" t="s">
        <v>106</v>
      </c>
      <c r="U14" s="107" t="s">
        <v>66</v>
      </c>
      <c r="V14" s="107"/>
      <c r="W14" s="107" t="s">
        <v>66</v>
      </c>
      <c r="X14" s="107"/>
      <c r="Y14" s="111"/>
      <c r="Z14" s="111"/>
    </row>
    <row r="15" spans="1:26" s="82" customFormat="1" ht="45" x14ac:dyDescent="0.25">
      <c r="A15" s="82" t="s">
        <v>128</v>
      </c>
      <c r="B15" s="82" t="s">
        <v>114</v>
      </c>
      <c r="C15" s="82" t="str">
        <f t="shared" si="0"/>
        <v>KC-012  - West Dover Hundred</v>
      </c>
      <c r="D15" s="96" t="s">
        <v>129</v>
      </c>
      <c r="E15" s="96" t="s">
        <v>130</v>
      </c>
      <c r="F15" s="97" t="s">
        <v>48</v>
      </c>
      <c r="G15" s="97" t="s">
        <v>48</v>
      </c>
      <c r="H15" s="96" t="s">
        <v>131</v>
      </c>
      <c r="I15" s="99" t="s">
        <v>50</v>
      </c>
      <c r="J15" s="95">
        <v>15</v>
      </c>
      <c r="K15" s="95">
        <v>11</v>
      </c>
      <c r="L15" s="112">
        <v>39.112380000000002</v>
      </c>
      <c r="M15" s="112">
        <v>-75.744979999999998</v>
      </c>
      <c r="N15" s="101" t="s">
        <v>132</v>
      </c>
      <c r="O15" s="82" t="s">
        <v>133</v>
      </c>
      <c r="P15" s="82">
        <v>19964</v>
      </c>
      <c r="R15" s="82" t="s">
        <v>37</v>
      </c>
      <c r="S15" s="82" t="s">
        <v>134</v>
      </c>
      <c r="T15" s="82" t="s">
        <v>56</v>
      </c>
      <c r="U15" s="97">
        <v>1932</v>
      </c>
      <c r="V15" s="97">
        <v>1932</v>
      </c>
      <c r="W15" s="97" t="s">
        <v>66</v>
      </c>
      <c r="X15" s="97"/>
      <c r="Y15" s="131" t="s">
        <v>135</v>
      </c>
      <c r="Z15" s="102" t="s">
        <v>136</v>
      </c>
    </row>
    <row r="16" spans="1:26" s="82" customFormat="1" ht="30" x14ac:dyDescent="0.25">
      <c r="A16" s="82" t="s">
        <v>137</v>
      </c>
      <c r="B16" s="82" t="s">
        <v>108</v>
      </c>
      <c r="C16" s="82" t="str">
        <f t="shared" si="0"/>
        <v>KC-013  - East Dover Hundred</v>
      </c>
      <c r="D16" s="96" t="s">
        <v>138</v>
      </c>
      <c r="E16" s="96" t="s">
        <v>29</v>
      </c>
      <c r="F16" s="97" t="s">
        <v>48</v>
      </c>
      <c r="G16" s="97" t="s">
        <v>48</v>
      </c>
      <c r="H16" s="96" t="s">
        <v>139</v>
      </c>
      <c r="I16" s="99" t="s">
        <v>50</v>
      </c>
      <c r="J16" s="95">
        <v>16</v>
      </c>
      <c r="K16" s="95">
        <v>34</v>
      </c>
      <c r="L16" s="112">
        <v>39.123080000000002</v>
      </c>
      <c r="M16" s="112">
        <v>-75.532489999999996</v>
      </c>
      <c r="N16" s="101" t="s">
        <v>140</v>
      </c>
      <c r="O16" s="82" t="s">
        <v>35</v>
      </c>
      <c r="P16" s="82">
        <v>19901</v>
      </c>
      <c r="R16" s="82" t="s">
        <v>37</v>
      </c>
      <c r="S16" s="82" t="s">
        <v>141</v>
      </c>
      <c r="T16" s="82" t="s">
        <v>56</v>
      </c>
      <c r="U16" s="97">
        <v>1932</v>
      </c>
      <c r="V16" s="97">
        <v>1932</v>
      </c>
      <c r="W16" s="97" t="s">
        <v>39</v>
      </c>
      <c r="X16" s="97" t="s">
        <v>142</v>
      </c>
      <c r="Y16" s="102" t="s">
        <v>143</v>
      </c>
      <c r="Z16" s="102" t="s">
        <v>144</v>
      </c>
    </row>
    <row r="17" spans="1:26" s="104" customFormat="1" ht="30" x14ac:dyDescent="0.25">
      <c r="A17" s="104" t="s">
        <v>145</v>
      </c>
      <c r="B17" s="104" t="s">
        <v>146</v>
      </c>
      <c r="C17" s="104" t="str">
        <f t="shared" si="0"/>
        <v>KC-014  - North Murderkill Hundred</v>
      </c>
      <c r="D17" s="106" t="s">
        <v>98</v>
      </c>
      <c r="E17" s="106" t="s">
        <v>71</v>
      </c>
      <c r="F17" s="107" t="s">
        <v>48</v>
      </c>
      <c r="G17" s="107" t="s">
        <v>48</v>
      </c>
      <c r="H17" s="106"/>
      <c r="I17" s="108" t="s">
        <v>50</v>
      </c>
      <c r="J17" s="105">
        <v>17</v>
      </c>
      <c r="K17" s="105">
        <v>32</v>
      </c>
      <c r="L17" s="143" t="s">
        <v>147</v>
      </c>
      <c r="M17" s="143" t="s">
        <v>148</v>
      </c>
      <c r="N17" s="110"/>
      <c r="R17" s="104" t="s">
        <v>37</v>
      </c>
      <c r="S17" s="104" t="s">
        <v>149</v>
      </c>
      <c r="T17" s="104" t="s">
        <v>56</v>
      </c>
      <c r="U17" s="107">
        <v>1932</v>
      </c>
      <c r="V17" s="107">
        <v>1932</v>
      </c>
      <c r="W17" s="107" t="s">
        <v>66</v>
      </c>
      <c r="X17" s="107">
        <v>1966</v>
      </c>
      <c r="Y17" s="111"/>
      <c r="Z17" s="111"/>
    </row>
    <row r="18" spans="1:26" s="82" customFormat="1" ht="45" x14ac:dyDescent="0.25">
      <c r="A18" s="82" t="s">
        <v>150</v>
      </c>
      <c r="B18" s="82" t="s">
        <v>146</v>
      </c>
      <c r="C18" s="82" t="str">
        <f t="shared" si="0"/>
        <v>KC-015  - North Murderkill Hundred</v>
      </c>
      <c r="D18" s="96" t="s">
        <v>151</v>
      </c>
      <c r="E18" s="96" t="s">
        <v>152</v>
      </c>
      <c r="F18" s="97" t="s">
        <v>48</v>
      </c>
      <c r="G18" s="97" t="s">
        <v>48</v>
      </c>
      <c r="H18" s="96" t="s">
        <v>153</v>
      </c>
      <c r="I18" s="99" t="s">
        <v>50</v>
      </c>
      <c r="J18" s="95">
        <v>16</v>
      </c>
      <c r="K18" s="95">
        <v>30</v>
      </c>
      <c r="L18" s="112">
        <v>39.03772</v>
      </c>
      <c r="M18" s="112">
        <v>-75.559659999999994</v>
      </c>
      <c r="N18" s="101" t="s">
        <v>154</v>
      </c>
      <c r="O18" s="82" t="s">
        <v>155</v>
      </c>
      <c r="P18" s="82">
        <v>19943</v>
      </c>
      <c r="R18" s="82" t="s">
        <v>37</v>
      </c>
      <c r="T18" s="82" t="s">
        <v>56</v>
      </c>
      <c r="U18" s="97">
        <v>1932</v>
      </c>
      <c r="V18" s="97">
        <v>1932</v>
      </c>
      <c r="W18" s="97" t="s">
        <v>66</v>
      </c>
      <c r="X18" s="97">
        <v>1966</v>
      </c>
      <c r="Y18" s="131" t="s">
        <v>156</v>
      </c>
      <c r="Z18" s="102" t="s">
        <v>157</v>
      </c>
    </row>
    <row r="19" spans="1:26" s="104" customFormat="1" ht="30" x14ac:dyDescent="0.25">
      <c r="A19" s="104" t="s">
        <v>158</v>
      </c>
      <c r="B19" s="104" t="s">
        <v>159</v>
      </c>
      <c r="C19" s="104" t="str">
        <f t="shared" si="0"/>
        <v>KC-016  - South Murderkill Hundred</v>
      </c>
      <c r="D19" s="106" t="s">
        <v>98</v>
      </c>
      <c r="E19" s="106" t="s">
        <v>71</v>
      </c>
      <c r="F19" s="107" t="s">
        <v>48</v>
      </c>
      <c r="G19" s="107" t="s">
        <v>48</v>
      </c>
      <c r="H19" s="106"/>
      <c r="I19" s="108" t="s">
        <v>50</v>
      </c>
      <c r="J19" s="105">
        <v>15</v>
      </c>
      <c r="K19" s="105">
        <v>30</v>
      </c>
      <c r="L19" s="143" t="s">
        <v>160</v>
      </c>
      <c r="M19" s="143" t="s">
        <v>161</v>
      </c>
      <c r="N19" s="110"/>
      <c r="R19" s="104" t="s">
        <v>37</v>
      </c>
      <c r="S19" s="104" t="s">
        <v>149</v>
      </c>
      <c r="T19" s="104" t="s">
        <v>56</v>
      </c>
      <c r="U19" s="107">
        <v>1932</v>
      </c>
      <c r="V19" s="107">
        <v>1932</v>
      </c>
      <c r="W19" s="107" t="s">
        <v>66</v>
      </c>
      <c r="X19" s="107"/>
      <c r="Y19" s="111"/>
      <c r="Z19" s="111"/>
    </row>
    <row r="20" spans="1:26" s="82" customFormat="1" ht="45" x14ac:dyDescent="0.25">
      <c r="A20" s="82" t="s">
        <v>162</v>
      </c>
      <c r="B20" s="82" t="s">
        <v>163</v>
      </c>
      <c r="C20" s="82" t="str">
        <f t="shared" si="0"/>
        <v>KC-017  - Captain Jonathan Caldwell</v>
      </c>
      <c r="D20" s="96" t="s">
        <v>164</v>
      </c>
      <c r="E20" s="96" t="s">
        <v>29</v>
      </c>
      <c r="F20" s="97" t="s">
        <v>62</v>
      </c>
      <c r="G20" s="97"/>
      <c r="H20" s="96" t="s">
        <v>165</v>
      </c>
      <c r="I20" s="99" t="s">
        <v>50</v>
      </c>
      <c r="J20" s="95">
        <v>15</v>
      </c>
      <c r="K20" s="95">
        <v>30</v>
      </c>
      <c r="L20" s="112">
        <v>39.005879999999998</v>
      </c>
      <c r="M20" s="112">
        <v>-75.564959999999999</v>
      </c>
      <c r="N20" s="101" t="s">
        <v>166</v>
      </c>
      <c r="O20" s="82" t="s">
        <v>155</v>
      </c>
      <c r="P20" s="82">
        <v>19943</v>
      </c>
      <c r="R20" s="82" t="s">
        <v>37</v>
      </c>
      <c r="S20" s="82" t="s">
        <v>167</v>
      </c>
      <c r="T20" s="82" t="s">
        <v>56</v>
      </c>
      <c r="U20" s="97">
        <v>1932</v>
      </c>
      <c r="V20" s="97">
        <v>1932</v>
      </c>
      <c r="W20" s="97" t="s">
        <v>66</v>
      </c>
      <c r="X20" s="97">
        <v>1959</v>
      </c>
      <c r="Y20" s="102" t="s">
        <v>168</v>
      </c>
      <c r="Z20" s="102" t="s">
        <v>169</v>
      </c>
    </row>
    <row r="21" spans="1:26" s="104" customFormat="1" ht="30" x14ac:dyDescent="0.25">
      <c r="A21" s="104" t="s">
        <v>170</v>
      </c>
      <c r="B21" s="104" t="s">
        <v>159</v>
      </c>
      <c r="C21" s="104" t="str">
        <f t="shared" si="0"/>
        <v>KC-018  - South Murderkill Hundred</v>
      </c>
      <c r="D21" s="106" t="s">
        <v>98</v>
      </c>
      <c r="E21" s="106" t="s">
        <v>71</v>
      </c>
      <c r="F21" s="107" t="s">
        <v>48</v>
      </c>
      <c r="G21" s="107" t="s">
        <v>48</v>
      </c>
      <c r="H21" s="106"/>
      <c r="I21" s="108" t="s">
        <v>50</v>
      </c>
      <c r="J21" s="105">
        <v>15</v>
      </c>
      <c r="K21" s="105">
        <v>30</v>
      </c>
      <c r="L21" s="143" t="s">
        <v>171</v>
      </c>
      <c r="M21" s="143" t="s">
        <v>172</v>
      </c>
      <c r="N21" s="110"/>
      <c r="R21" s="104" t="s">
        <v>37</v>
      </c>
      <c r="S21" s="104" t="s">
        <v>173</v>
      </c>
      <c r="T21" s="104" t="s">
        <v>56</v>
      </c>
      <c r="U21" s="107">
        <v>1932</v>
      </c>
      <c r="V21" s="107">
        <v>1932</v>
      </c>
      <c r="W21" s="107" t="s">
        <v>66</v>
      </c>
      <c r="X21" s="107"/>
      <c r="Y21" s="111"/>
      <c r="Z21" s="111"/>
    </row>
    <row r="22" spans="1:26" s="104" customFormat="1" x14ac:dyDescent="0.25">
      <c r="A22" s="104" t="s">
        <v>174</v>
      </c>
      <c r="B22" s="104" t="s">
        <v>175</v>
      </c>
      <c r="C22" s="104" t="str">
        <f t="shared" si="0"/>
        <v>KC-019  - Mispillion Hundred</v>
      </c>
      <c r="D22" s="106" t="s">
        <v>98</v>
      </c>
      <c r="E22" s="106" t="s">
        <v>71</v>
      </c>
      <c r="F22" s="107" t="s">
        <v>48</v>
      </c>
      <c r="G22" s="107" t="s">
        <v>48</v>
      </c>
      <c r="H22" s="106"/>
      <c r="I22" s="108" t="s">
        <v>50</v>
      </c>
      <c r="J22" s="105">
        <v>17</v>
      </c>
      <c r="K22" s="105">
        <v>34</v>
      </c>
      <c r="L22" s="143" t="s">
        <v>176</v>
      </c>
      <c r="M22" s="143" t="s">
        <v>177</v>
      </c>
      <c r="N22" s="110"/>
      <c r="R22" s="104" t="s">
        <v>37</v>
      </c>
      <c r="S22" s="104" t="s">
        <v>173</v>
      </c>
      <c r="T22" s="104" t="s">
        <v>56</v>
      </c>
      <c r="U22" s="107">
        <v>1932</v>
      </c>
      <c r="V22" s="107">
        <v>1932</v>
      </c>
      <c r="W22" s="107" t="s">
        <v>66</v>
      </c>
      <c r="X22" s="107"/>
      <c r="Y22" s="111"/>
      <c r="Z22" s="111"/>
    </row>
    <row r="23" spans="1:26" s="104" customFormat="1" x14ac:dyDescent="0.25">
      <c r="A23" s="104" t="s">
        <v>178</v>
      </c>
      <c r="B23" s="104" t="s">
        <v>175</v>
      </c>
      <c r="C23" s="104" t="str">
        <f t="shared" si="0"/>
        <v>KC-020  - Mispillion Hundred</v>
      </c>
      <c r="D23" s="106" t="s">
        <v>98</v>
      </c>
      <c r="E23" s="106" t="s">
        <v>71</v>
      </c>
      <c r="F23" s="107" t="s">
        <v>48</v>
      </c>
      <c r="G23" s="107" t="s">
        <v>48</v>
      </c>
      <c r="H23" s="106"/>
      <c r="I23" s="108" t="s">
        <v>50</v>
      </c>
      <c r="J23" s="105">
        <v>18</v>
      </c>
      <c r="K23" s="105">
        <v>35</v>
      </c>
      <c r="L23" s="143" t="s">
        <v>179</v>
      </c>
      <c r="M23" s="143" t="s">
        <v>180</v>
      </c>
      <c r="N23" s="110"/>
      <c r="R23" s="104" t="s">
        <v>37</v>
      </c>
      <c r="S23" s="104" t="s">
        <v>149</v>
      </c>
      <c r="T23" s="104" t="s">
        <v>56</v>
      </c>
      <c r="U23" s="107">
        <v>1932</v>
      </c>
      <c r="V23" s="107">
        <v>1932</v>
      </c>
      <c r="W23" s="107" t="s">
        <v>66</v>
      </c>
      <c r="X23" s="107"/>
      <c r="Y23" s="111"/>
      <c r="Z23" s="111"/>
    </row>
    <row r="24" spans="1:26" s="104" customFormat="1" ht="30" x14ac:dyDescent="0.25">
      <c r="A24" s="104" t="s">
        <v>181</v>
      </c>
      <c r="B24" s="104" t="s">
        <v>108</v>
      </c>
      <c r="C24" s="104" t="str">
        <f t="shared" si="0"/>
        <v>KC-021  - East Dover Hundred</v>
      </c>
      <c r="D24" s="106" t="s">
        <v>98</v>
      </c>
      <c r="E24" s="106" t="s">
        <v>71</v>
      </c>
      <c r="F24" s="107" t="s">
        <v>48</v>
      </c>
      <c r="G24" s="107" t="s">
        <v>48</v>
      </c>
      <c r="H24" s="106"/>
      <c r="I24" s="108" t="s">
        <v>50</v>
      </c>
      <c r="J24" s="105"/>
      <c r="K24" s="105"/>
      <c r="L24" s="143"/>
      <c r="M24" s="143"/>
      <c r="N24" s="110"/>
      <c r="R24" s="104" t="s">
        <v>37</v>
      </c>
      <c r="S24" s="104" t="s">
        <v>112</v>
      </c>
      <c r="T24" s="104" t="s">
        <v>56</v>
      </c>
      <c r="U24" s="107">
        <v>1932</v>
      </c>
      <c r="V24" s="107">
        <v>1932</v>
      </c>
      <c r="W24" s="107" t="s">
        <v>66</v>
      </c>
      <c r="X24" s="107"/>
      <c r="Y24" s="111"/>
      <c r="Z24" s="111"/>
    </row>
    <row r="25" spans="1:26" s="104" customFormat="1" ht="30" x14ac:dyDescent="0.25">
      <c r="A25" s="104" t="s">
        <v>182</v>
      </c>
      <c r="B25" s="104" t="s">
        <v>146</v>
      </c>
      <c r="C25" s="104" t="str">
        <f t="shared" si="0"/>
        <v>KC-022  - North Murderkill Hundred</v>
      </c>
      <c r="D25" s="106" t="s">
        <v>98</v>
      </c>
      <c r="E25" s="106" t="s">
        <v>71</v>
      </c>
      <c r="F25" s="107" t="s">
        <v>48</v>
      </c>
      <c r="G25" s="107" t="s">
        <v>48</v>
      </c>
      <c r="H25" s="106" t="s">
        <v>183</v>
      </c>
      <c r="I25" s="108" t="s">
        <v>50</v>
      </c>
      <c r="J25" s="105"/>
      <c r="K25" s="105"/>
      <c r="L25" s="143"/>
      <c r="M25" s="143"/>
      <c r="N25" s="110"/>
      <c r="R25" s="104" t="s">
        <v>37</v>
      </c>
      <c r="S25" s="104" t="s">
        <v>112</v>
      </c>
      <c r="T25" s="104" t="s">
        <v>56</v>
      </c>
      <c r="U25" s="107">
        <v>1932</v>
      </c>
      <c r="V25" s="107">
        <v>1932</v>
      </c>
      <c r="W25" s="107" t="s">
        <v>66</v>
      </c>
      <c r="X25" s="107"/>
      <c r="Y25" s="111"/>
      <c r="Z25" s="111"/>
    </row>
    <row r="26" spans="1:26" s="104" customFormat="1" ht="30" x14ac:dyDescent="0.25">
      <c r="A26" s="104" t="s">
        <v>184</v>
      </c>
      <c r="B26" s="104" t="s">
        <v>146</v>
      </c>
      <c r="C26" s="104" t="str">
        <f t="shared" si="0"/>
        <v>KC-023  - North Murderkill Hundred</v>
      </c>
      <c r="D26" s="106" t="s">
        <v>98</v>
      </c>
      <c r="E26" s="106" t="s">
        <v>71</v>
      </c>
      <c r="F26" s="107" t="s">
        <v>48</v>
      </c>
      <c r="G26" s="107" t="s">
        <v>48</v>
      </c>
      <c r="H26" s="106"/>
      <c r="I26" s="108" t="s">
        <v>50</v>
      </c>
      <c r="J26" s="105">
        <v>16</v>
      </c>
      <c r="K26" s="105">
        <v>33</v>
      </c>
      <c r="L26" s="143" t="s">
        <v>185</v>
      </c>
      <c r="M26" s="143" t="s">
        <v>186</v>
      </c>
      <c r="N26" s="110"/>
      <c r="R26" s="104" t="s">
        <v>37</v>
      </c>
      <c r="S26" s="104" t="s">
        <v>112</v>
      </c>
      <c r="T26" s="104" t="s">
        <v>56</v>
      </c>
      <c r="U26" s="107">
        <v>1932</v>
      </c>
      <c r="V26" s="107">
        <v>1932</v>
      </c>
      <c r="W26" s="107" t="s">
        <v>66</v>
      </c>
      <c r="X26" s="107"/>
      <c r="Y26" s="111"/>
      <c r="Z26" s="111"/>
    </row>
    <row r="27" spans="1:26" s="104" customFormat="1" ht="30" x14ac:dyDescent="0.25">
      <c r="A27" s="104" t="s">
        <v>187</v>
      </c>
      <c r="B27" s="104" t="s">
        <v>159</v>
      </c>
      <c r="C27" s="104" t="str">
        <f t="shared" si="0"/>
        <v>KC-024  - South Murderkill Hundred</v>
      </c>
      <c r="D27" s="106" t="s">
        <v>98</v>
      </c>
      <c r="E27" s="106" t="s">
        <v>71</v>
      </c>
      <c r="F27" s="107" t="s">
        <v>48</v>
      </c>
      <c r="G27" s="107" t="s">
        <v>48</v>
      </c>
      <c r="H27" s="106"/>
      <c r="I27" s="108" t="s">
        <v>50</v>
      </c>
      <c r="J27" s="105"/>
      <c r="K27" s="105"/>
      <c r="L27" s="143"/>
      <c r="M27" s="143"/>
      <c r="N27" s="110"/>
      <c r="R27" s="104" t="s">
        <v>37</v>
      </c>
      <c r="S27" s="104" t="s">
        <v>112</v>
      </c>
      <c r="T27" s="104" t="s">
        <v>56</v>
      </c>
      <c r="U27" s="107" t="s">
        <v>66</v>
      </c>
      <c r="V27" s="107" t="s">
        <v>66</v>
      </c>
      <c r="W27" s="107" t="s">
        <v>66</v>
      </c>
      <c r="X27" s="107"/>
      <c r="Y27" s="111"/>
      <c r="Z27" s="111"/>
    </row>
    <row r="28" spans="1:26" s="82" customFormat="1" ht="45" x14ac:dyDescent="0.25">
      <c r="A28" s="82" t="s">
        <v>188</v>
      </c>
      <c r="B28" s="82" t="s">
        <v>189</v>
      </c>
      <c r="C28" s="82" t="str">
        <f t="shared" si="0"/>
        <v>KC-025  - Barratt's Chapel (Cradle of Methodism in America)</v>
      </c>
      <c r="D28" s="96" t="s">
        <v>190</v>
      </c>
      <c r="E28" s="96" t="s">
        <v>29</v>
      </c>
      <c r="F28" s="97" t="s">
        <v>191</v>
      </c>
      <c r="G28" s="97"/>
      <c r="H28" s="96" t="s">
        <v>192</v>
      </c>
      <c r="I28" s="99" t="s">
        <v>50</v>
      </c>
      <c r="J28" s="95">
        <v>16</v>
      </c>
      <c r="K28" s="95">
        <v>33</v>
      </c>
      <c r="L28" s="100" t="s">
        <v>193</v>
      </c>
      <c r="M28" s="100">
        <v>-75.460077999999996</v>
      </c>
      <c r="N28" s="101" t="s">
        <v>194</v>
      </c>
      <c r="O28" s="82" t="s">
        <v>195</v>
      </c>
      <c r="P28" s="82">
        <v>19946</v>
      </c>
      <c r="R28" s="82" t="s">
        <v>37</v>
      </c>
      <c r="S28" s="82" t="s">
        <v>196</v>
      </c>
      <c r="T28" s="82" t="s">
        <v>56</v>
      </c>
      <c r="U28" s="97">
        <v>1934</v>
      </c>
      <c r="V28" s="97">
        <v>1934</v>
      </c>
      <c r="W28" s="97" t="s">
        <v>66</v>
      </c>
      <c r="X28" s="97"/>
      <c r="Y28" s="102" t="s">
        <v>197</v>
      </c>
      <c r="Z28" s="102" t="s">
        <v>198</v>
      </c>
    </row>
    <row r="29" spans="1:26" s="104" customFormat="1" ht="30" x14ac:dyDescent="0.25">
      <c r="A29" s="104" t="s">
        <v>199</v>
      </c>
      <c r="B29" s="104" t="s">
        <v>159</v>
      </c>
      <c r="C29" s="104" t="str">
        <f t="shared" si="0"/>
        <v>KC-026  - South Murderkill Hundred</v>
      </c>
      <c r="D29" s="106" t="s">
        <v>98</v>
      </c>
      <c r="E29" s="106" t="s">
        <v>71</v>
      </c>
      <c r="F29" s="107" t="s">
        <v>48</v>
      </c>
      <c r="G29" s="107" t="s">
        <v>48</v>
      </c>
      <c r="H29" s="106"/>
      <c r="I29" s="108" t="s">
        <v>50</v>
      </c>
      <c r="J29" s="105"/>
      <c r="K29" s="105"/>
      <c r="L29" s="143"/>
      <c r="M29" s="143"/>
      <c r="N29" s="110"/>
      <c r="R29" s="104" t="s">
        <v>37</v>
      </c>
      <c r="S29" s="104" t="s">
        <v>149</v>
      </c>
      <c r="T29" s="104" t="s">
        <v>56</v>
      </c>
      <c r="U29" s="107" t="s">
        <v>66</v>
      </c>
      <c r="V29" s="107" t="s">
        <v>66</v>
      </c>
      <c r="W29" s="107" t="s">
        <v>66</v>
      </c>
      <c r="X29" s="107"/>
      <c r="Y29" s="111"/>
      <c r="Z29" s="111"/>
    </row>
    <row r="30" spans="1:26" s="104" customFormat="1" x14ac:dyDescent="0.25">
      <c r="A30" s="104" t="s">
        <v>200</v>
      </c>
      <c r="B30" s="104" t="s">
        <v>201</v>
      </c>
      <c r="C30" s="104" t="str">
        <f t="shared" si="0"/>
        <v>KC-027  - Milford Hundred</v>
      </c>
      <c r="D30" s="106" t="s">
        <v>98</v>
      </c>
      <c r="E30" s="106" t="s">
        <v>71</v>
      </c>
      <c r="F30" s="107" t="s">
        <v>48</v>
      </c>
      <c r="G30" s="107" t="s">
        <v>48</v>
      </c>
      <c r="H30" s="106"/>
      <c r="I30" s="108" t="s">
        <v>50</v>
      </c>
      <c r="J30" s="105"/>
      <c r="K30" s="105"/>
      <c r="L30" s="143"/>
      <c r="M30" s="143"/>
      <c r="N30" s="110"/>
      <c r="R30" s="104" t="s">
        <v>37</v>
      </c>
      <c r="S30" s="104" t="s">
        <v>149</v>
      </c>
      <c r="T30" s="104" t="s">
        <v>56</v>
      </c>
      <c r="U30" s="107" t="s">
        <v>66</v>
      </c>
      <c r="V30" s="107" t="s">
        <v>66</v>
      </c>
      <c r="W30" s="107" t="s">
        <v>66</v>
      </c>
      <c r="X30" s="107">
        <v>1966</v>
      </c>
      <c r="Y30" s="111"/>
      <c r="Z30" s="111"/>
    </row>
    <row r="31" spans="1:26" s="82" customFormat="1" ht="45" x14ac:dyDescent="0.25">
      <c r="A31" s="82" t="s">
        <v>202</v>
      </c>
      <c r="B31" s="82" t="s">
        <v>203</v>
      </c>
      <c r="C31" s="82" t="str">
        <f t="shared" si="0"/>
        <v>KC-028  - Milford (Odd Fellows)</v>
      </c>
      <c r="D31" s="96" t="s">
        <v>204</v>
      </c>
      <c r="E31" s="96" t="s">
        <v>29</v>
      </c>
      <c r="F31" s="97" t="s">
        <v>205</v>
      </c>
      <c r="G31" s="97"/>
      <c r="H31" s="96" t="s">
        <v>206</v>
      </c>
      <c r="I31" s="99" t="s">
        <v>50</v>
      </c>
      <c r="J31" s="95">
        <v>18</v>
      </c>
      <c r="K31" s="95">
        <v>33</v>
      </c>
      <c r="L31" s="112">
        <v>38.925550000000001</v>
      </c>
      <c r="M31" s="112">
        <v>-75.428880000000007</v>
      </c>
      <c r="N31" s="101" t="s">
        <v>207</v>
      </c>
      <c r="O31" s="82" t="s">
        <v>208</v>
      </c>
      <c r="P31" s="82">
        <v>19963</v>
      </c>
      <c r="R31" s="82" t="s">
        <v>37</v>
      </c>
      <c r="T31" s="82" t="s">
        <v>56</v>
      </c>
      <c r="U31" s="97">
        <v>1933</v>
      </c>
      <c r="V31" s="97">
        <v>1933</v>
      </c>
      <c r="W31" s="97" t="s">
        <v>39</v>
      </c>
      <c r="X31" s="97">
        <v>2015</v>
      </c>
      <c r="Y31" s="102" t="s">
        <v>209</v>
      </c>
      <c r="Z31" s="102" t="s">
        <v>210</v>
      </c>
    </row>
    <row r="32" spans="1:26" s="82" customFormat="1" ht="90" x14ac:dyDescent="0.25">
      <c r="A32" s="82" t="s">
        <v>211</v>
      </c>
      <c r="B32" s="82" t="s">
        <v>212</v>
      </c>
      <c r="C32" s="82" t="str">
        <f t="shared" si="0"/>
        <v>KC-029  - Milford (Carlisle)</v>
      </c>
      <c r="D32" s="96" t="s">
        <v>213</v>
      </c>
      <c r="E32" s="96" t="s">
        <v>29</v>
      </c>
      <c r="F32" s="97" t="s">
        <v>205</v>
      </c>
      <c r="G32" s="97"/>
      <c r="H32" s="96" t="s">
        <v>214</v>
      </c>
      <c r="I32" s="99" t="s">
        <v>50</v>
      </c>
      <c r="J32" s="95">
        <v>18</v>
      </c>
      <c r="K32" s="95">
        <v>33</v>
      </c>
      <c r="L32" s="100" t="s">
        <v>215</v>
      </c>
      <c r="M32" s="100" t="s">
        <v>216</v>
      </c>
      <c r="N32" s="101" t="s">
        <v>217</v>
      </c>
      <c r="O32" s="82" t="s">
        <v>208</v>
      </c>
      <c r="P32" s="82">
        <v>19963</v>
      </c>
      <c r="R32" s="82" t="s">
        <v>37</v>
      </c>
      <c r="S32" s="82" t="s">
        <v>218</v>
      </c>
      <c r="T32" s="82" t="s">
        <v>56</v>
      </c>
      <c r="U32" s="97">
        <v>1933</v>
      </c>
      <c r="V32" s="97">
        <v>1933</v>
      </c>
      <c r="W32" s="97" t="s">
        <v>66</v>
      </c>
      <c r="X32" s="97">
        <v>1966</v>
      </c>
      <c r="Y32" s="114" t="s">
        <v>219</v>
      </c>
      <c r="Z32" s="114" t="s">
        <v>220</v>
      </c>
    </row>
    <row r="33" spans="1:26" s="104" customFormat="1" x14ac:dyDescent="0.25">
      <c r="A33" s="104" t="s">
        <v>221</v>
      </c>
      <c r="B33" s="104" t="s">
        <v>201</v>
      </c>
      <c r="C33" s="104" t="str">
        <f t="shared" si="0"/>
        <v>KC-030  - Milford Hundred</v>
      </c>
      <c r="D33" s="106" t="s">
        <v>98</v>
      </c>
      <c r="E33" s="106" t="s">
        <v>71</v>
      </c>
      <c r="F33" s="107" t="s">
        <v>48</v>
      </c>
      <c r="G33" s="107" t="s">
        <v>48</v>
      </c>
      <c r="H33" s="106" t="s">
        <v>222</v>
      </c>
      <c r="I33" s="108" t="s">
        <v>50</v>
      </c>
      <c r="J33" s="105"/>
      <c r="K33" s="105"/>
      <c r="L33" s="143"/>
      <c r="M33" s="143"/>
      <c r="N33" s="110"/>
      <c r="R33" s="104" t="s">
        <v>37</v>
      </c>
      <c r="S33" s="104" t="s">
        <v>112</v>
      </c>
      <c r="T33" s="104" t="s">
        <v>56</v>
      </c>
      <c r="U33" s="107" t="s">
        <v>66</v>
      </c>
      <c r="V33" s="107" t="s">
        <v>66</v>
      </c>
      <c r="W33" s="107" t="s">
        <v>66</v>
      </c>
      <c r="X33" s="107"/>
      <c r="Y33" s="111"/>
      <c r="Z33" s="111"/>
    </row>
    <row r="34" spans="1:26" s="104" customFormat="1" x14ac:dyDescent="0.25">
      <c r="A34" s="104" t="s">
        <v>223</v>
      </c>
      <c r="B34" s="104" t="s">
        <v>201</v>
      </c>
      <c r="C34" s="104" t="str">
        <f t="shared" si="0"/>
        <v>KC-031  - Milford Hundred</v>
      </c>
      <c r="D34" s="106" t="s">
        <v>98</v>
      </c>
      <c r="E34" s="106" t="s">
        <v>71</v>
      </c>
      <c r="F34" s="107" t="s">
        <v>48</v>
      </c>
      <c r="G34" s="107" t="s">
        <v>48</v>
      </c>
      <c r="H34" s="106" t="s">
        <v>222</v>
      </c>
      <c r="I34" s="108" t="s">
        <v>50</v>
      </c>
      <c r="J34" s="105"/>
      <c r="K34" s="105"/>
      <c r="L34" s="143"/>
      <c r="M34" s="143"/>
      <c r="N34" s="110"/>
      <c r="R34" s="104" t="s">
        <v>37</v>
      </c>
      <c r="S34" s="104" t="s">
        <v>112</v>
      </c>
      <c r="T34" s="104" t="s">
        <v>56</v>
      </c>
      <c r="U34" s="107" t="s">
        <v>66</v>
      </c>
      <c r="V34" s="107" t="s">
        <v>66</v>
      </c>
      <c r="W34" s="107" t="s">
        <v>66</v>
      </c>
      <c r="X34" s="107"/>
      <c r="Y34" s="111"/>
      <c r="Z34" s="111"/>
    </row>
    <row r="35" spans="1:26" s="104" customFormat="1" ht="45" x14ac:dyDescent="0.25">
      <c r="A35" s="104" t="s">
        <v>224</v>
      </c>
      <c r="B35" s="104" t="s">
        <v>225</v>
      </c>
      <c r="C35" s="104" t="str">
        <f t="shared" si="0"/>
        <v>KC-032  - Belmont Hall</v>
      </c>
      <c r="D35" s="106" t="s">
        <v>98</v>
      </c>
      <c r="E35" s="106" t="s">
        <v>71</v>
      </c>
      <c r="F35" s="107" t="s">
        <v>30</v>
      </c>
      <c r="G35" s="107"/>
      <c r="H35" s="106" t="s">
        <v>222</v>
      </c>
      <c r="I35" s="108" t="s">
        <v>50</v>
      </c>
      <c r="J35" s="105">
        <v>14</v>
      </c>
      <c r="K35" s="105">
        <v>28</v>
      </c>
      <c r="L35" s="109">
        <v>39.292482999999997</v>
      </c>
      <c r="M35" s="109">
        <v>-75.596897999999996</v>
      </c>
      <c r="N35" s="110" t="s">
        <v>226</v>
      </c>
      <c r="O35" s="110" t="s">
        <v>54</v>
      </c>
      <c r="P35" s="104">
        <v>19977</v>
      </c>
      <c r="R35" s="104" t="s">
        <v>37</v>
      </c>
      <c r="S35" s="104" t="s">
        <v>112</v>
      </c>
      <c r="T35" s="104" t="s">
        <v>56</v>
      </c>
      <c r="U35" s="107">
        <v>1939</v>
      </c>
      <c r="V35" s="107">
        <v>1939</v>
      </c>
      <c r="W35" s="107" t="s">
        <v>66</v>
      </c>
      <c r="X35" s="107"/>
      <c r="Y35" s="111" t="s">
        <v>227</v>
      </c>
      <c r="Z35" s="111" t="s">
        <v>228</v>
      </c>
    </row>
    <row r="36" spans="1:26" s="82" customFormat="1" ht="45" x14ac:dyDescent="0.25">
      <c r="A36" s="82" t="s">
        <v>229</v>
      </c>
      <c r="B36" s="82" t="s">
        <v>230</v>
      </c>
      <c r="C36" s="82" t="str">
        <f t="shared" si="0"/>
        <v>KC-033  - Home of John Dickinson</v>
      </c>
      <c r="D36" s="96" t="s">
        <v>231</v>
      </c>
      <c r="E36" s="96" t="s">
        <v>29</v>
      </c>
      <c r="F36" s="97" t="s">
        <v>30</v>
      </c>
      <c r="G36" s="97"/>
      <c r="H36" s="96" t="s">
        <v>232</v>
      </c>
      <c r="I36" s="99" t="s">
        <v>50</v>
      </c>
      <c r="J36" s="95">
        <v>16</v>
      </c>
      <c r="K36" s="95">
        <v>32</v>
      </c>
      <c r="L36" s="100">
        <v>39.104579999999999</v>
      </c>
      <c r="M36" s="100">
        <v>-75.449700000000007</v>
      </c>
      <c r="N36" s="101" t="s">
        <v>233</v>
      </c>
      <c r="O36" s="82" t="s">
        <v>35</v>
      </c>
      <c r="P36" s="82">
        <v>19901</v>
      </c>
      <c r="R36" s="82" t="s">
        <v>37</v>
      </c>
      <c r="T36" s="82" t="s">
        <v>56</v>
      </c>
      <c r="U36" s="97">
        <v>1939</v>
      </c>
      <c r="V36" s="97">
        <v>1939</v>
      </c>
      <c r="W36" s="97" t="s">
        <v>66</v>
      </c>
      <c r="X36" s="97"/>
      <c r="Y36" s="103" t="s">
        <v>234</v>
      </c>
      <c r="Z36" s="102" t="s">
        <v>235</v>
      </c>
    </row>
    <row r="37" spans="1:26" s="82" customFormat="1" ht="63.75" x14ac:dyDescent="0.25">
      <c r="A37" s="82" t="s">
        <v>236</v>
      </c>
      <c r="B37" s="82" t="s">
        <v>237</v>
      </c>
      <c r="C37" s="82" t="str">
        <f t="shared" si="0"/>
        <v>KC-034  - Dover (Silver Lake)</v>
      </c>
      <c r="D37" s="96" t="s">
        <v>238</v>
      </c>
      <c r="E37" s="96" t="s">
        <v>29</v>
      </c>
      <c r="F37" s="97" t="s">
        <v>205</v>
      </c>
      <c r="G37" s="97"/>
      <c r="H37" s="96" t="s">
        <v>239</v>
      </c>
      <c r="I37" s="99" t="s">
        <v>50</v>
      </c>
      <c r="J37" s="95">
        <v>17</v>
      </c>
      <c r="K37" s="95">
        <v>31</v>
      </c>
      <c r="L37" s="112">
        <v>39.175510000000003</v>
      </c>
      <c r="M37" s="112">
        <v>-75.530029999999996</v>
      </c>
      <c r="N37" s="101" t="s">
        <v>240</v>
      </c>
      <c r="O37" s="82" t="s">
        <v>35</v>
      </c>
      <c r="P37" s="82">
        <v>19901</v>
      </c>
      <c r="R37" s="82" t="s">
        <v>37</v>
      </c>
      <c r="T37" s="82" t="s">
        <v>56</v>
      </c>
      <c r="U37" s="97">
        <v>1940</v>
      </c>
      <c r="V37" s="97">
        <v>1940</v>
      </c>
      <c r="W37" s="97" t="s">
        <v>66</v>
      </c>
      <c r="X37" s="97"/>
      <c r="Y37" s="131" t="s">
        <v>241</v>
      </c>
      <c r="Z37" s="102" t="s">
        <v>242</v>
      </c>
    </row>
    <row r="38" spans="1:26" s="82" customFormat="1" ht="63.75" x14ac:dyDescent="0.25">
      <c r="A38" s="82" t="s">
        <v>243</v>
      </c>
      <c r="B38" s="82" t="s">
        <v>244</v>
      </c>
      <c r="C38" s="82" t="s">
        <v>245</v>
      </c>
      <c r="D38" s="96" t="s">
        <v>246</v>
      </c>
      <c r="E38" s="96" t="s">
        <v>29</v>
      </c>
      <c r="F38" s="97" t="s">
        <v>205</v>
      </c>
      <c r="G38" s="97"/>
      <c r="H38" s="96" t="s">
        <v>247</v>
      </c>
      <c r="I38" s="99" t="s">
        <v>248</v>
      </c>
      <c r="J38" s="95">
        <v>17</v>
      </c>
      <c r="K38" s="95">
        <v>31</v>
      </c>
      <c r="L38" s="112">
        <v>39.158720000000002</v>
      </c>
      <c r="M38" s="112">
        <v>-75.52176</v>
      </c>
      <c r="N38" s="101" t="s">
        <v>249</v>
      </c>
      <c r="O38" s="82" t="s">
        <v>35</v>
      </c>
      <c r="P38" s="82">
        <v>19901</v>
      </c>
      <c r="R38" s="82" t="s">
        <v>37</v>
      </c>
      <c r="T38" s="82" t="s">
        <v>56</v>
      </c>
      <c r="U38" s="97">
        <v>1940</v>
      </c>
      <c r="V38" s="97">
        <v>1940</v>
      </c>
      <c r="W38" s="97" t="s">
        <v>66</v>
      </c>
      <c r="X38" s="97">
        <v>1966</v>
      </c>
      <c r="Y38" s="102" t="s">
        <v>250</v>
      </c>
      <c r="Z38" s="102" t="s">
        <v>251</v>
      </c>
    </row>
    <row r="39" spans="1:26" s="104" customFormat="1" ht="30" x14ac:dyDescent="0.25">
      <c r="A39" s="104" t="s">
        <v>252</v>
      </c>
      <c r="B39" s="104" t="s">
        <v>253</v>
      </c>
      <c r="C39" s="104" t="str">
        <f t="shared" ref="C39:C59" si="1">A39 &amp; " - " &amp; B39</f>
        <v>KC-036  - Dover (Forrest Ave)</v>
      </c>
      <c r="D39" s="106" t="s">
        <v>71</v>
      </c>
      <c r="E39" s="106" t="s">
        <v>71</v>
      </c>
      <c r="F39" s="107" t="s">
        <v>205</v>
      </c>
      <c r="G39" s="107"/>
      <c r="H39" s="106" t="s">
        <v>222</v>
      </c>
      <c r="I39" s="108" t="s">
        <v>50</v>
      </c>
      <c r="J39" s="105">
        <v>17</v>
      </c>
      <c r="K39" s="105">
        <v>31</v>
      </c>
      <c r="L39" s="109">
        <v>39.158918</v>
      </c>
      <c r="M39" s="109">
        <v>-75.537458999999998</v>
      </c>
      <c r="N39" s="110" t="s">
        <v>254</v>
      </c>
      <c r="O39" s="104" t="s">
        <v>35</v>
      </c>
      <c r="P39" s="104">
        <v>19901</v>
      </c>
      <c r="R39" s="104" t="s">
        <v>37</v>
      </c>
      <c r="S39" s="104" t="s">
        <v>255</v>
      </c>
      <c r="T39" s="104" t="s">
        <v>56</v>
      </c>
      <c r="U39" s="107">
        <v>1940</v>
      </c>
      <c r="V39" s="107">
        <v>1940</v>
      </c>
      <c r="W39" s="107" t="s">
        <v>66</v>
      </c>
      <c r="X39" s="107">
        <v>1966</v>
      </c>
      <c r="Y39" s="111"/>
      <c r="Z39" s="111"/>
    </row>
    <row r="40" spans="1:26" s="104" customFormat="1" ht="38.25" x14ac:dyDescent="0.25">
      <c r="A40" s="104" t="s">
        <v>256</v>
      </c>
      <c r="B40" s="104" t="s">
        <v>257</v>
      </c>
      <c r="C40" s="104" t="str">
        <f t="shared" si="1"/>
        <v>KC-037  - Dover (S. Governors Ave)</v>
      </c>
      <c r="D40" s="106" t="s">
        <v>258</v>
      </c>
      <c r="E40" s="106" t="s">
        <v>71</v>
      </c>
      <c r="F40" s="107" t="s">
        <v>205</v>
      </c>
      <c r="G40" s="107"/>
      <c r="H40" s="106" t="s">
        <v>222</v>
      </c>
      <c r="I40" s="108" t="s">
        <v>50</v>
      </c>
      <c r="J40" s="105">
        <v>17</v>
      </c>
      <c r="K40" s="105">
        <v>31</v>
      </c>
      <c r="L40" s="109">
        <v>39.140199000000003</v>
      </c>
      <c r="M40" s="109">
        <v>-75.525616999999997</v>
      </c>
      <c r="N40" s="110" t="s">
        <v>259</v>
      </c>
      <c r="O40" s="104" t="s">
        <v>35</v>
      </c>
      <c r="P40" s="104">
        <v>19901</v>
      </c>
      <c r="R40" s="104" t="s">
        <v>37</v>
      </c>
      <c r="S40" s="104" t="s">
        <v>260</v>
      </c>
      <c r="T40" s="104" t="s">
        <v>56</v>
      </c>
      <c r="U40" s="107">
        <v>1940</v>
      </c>
      <c r="V40" s="107">
        <v>1940</v>
      </c>
      <c r="W40" s="107" t="s">
        <v>66</v>
      </c>
      <c r="X40" s="107">
        <v>1966</v>
      </c>
      <c r="Y40" s="111"/>
      <c r="Z40" s="111"/>
    </row>
    <row r="41" spans="1:26" s="82" customFormat="1" ht="45" x14ac:dyDescent="0.25">
      <c r="A41" s="82" t="s">
        <v>261</v>
      </c>
      <c r="B41" s="82" t="s">
        <v>262</v>
      </c>
      <c r="C41" s="82" t="str">
        <f t="shared" si="1"/>
        <v>KC-038  - Dover (S. State St.)</v>
      </c>
      <c r="D41" s="96" t="s">
        <v>263</v>
      </c>
      <c r="E41" s="96" t="s">
        <v>29</v>
      </c>
      <c r="F41" s="97" t="s">
        <v>205</v>
      </c>
      <c r="G41" s="97"/>
      <c r="H41" s="96" t="s">
        <v>49</v>
      </c>
      <c r="I41" s="99" t="s">
        <v>248</v>
      </c>
      <c r="J41" s="95">
        <v>17</v>
      </c>
      <c r="K41" s="95">
        <v>32</v>
      </c>
      <c r="L41" s="112">
        <v>39.140830000000001</v>
      </c>
      <c r="M41" s="112">
        <v>-75.522750000000002</v>
      </c>
      <c r="N41" s="101" t="s">
        <v>264</v>
      </c>
      <c r="O41" s="82" t="s">
        <v>35</v>
      </c>
      <c r="P41" s="82">
        <v>19901</v>
      </c>
      <c r="R41" s="82" t="s">
        <v>37</v>
      </c>
      <c r="T41" s="82" t="s">
        <v>56</v>
      </c>
      <c r="U41" s="97">
        <v>1940</v>
      </c>
      <c r="V41" s="97">
        <v>1940</v>
      </c>
      <c r="W41" s="97" t="s">
        <v>66</v>
      </c>
      <c r="X41" s="97"/>
      <c r="Y41" s="102" t="s">
        <v>265</v>
      </c>
      <c r="Z41" s="102" t="s">
        <v>266</v>
      </c>
    </row>
    <row r="42" spans="1:26" s="82" customFormat="1" ht="38.25" x14ac:dyDescent="0.25">
      <c r="A42" s="82" t="s">
        <v>267</v>
      </c>
      <c r="B42" s="82" t="s">
        <v>268</v>
      </c>
      <c r="C42" s="82" t="str">
        <f t="shared" si="1"/>
        <v>KC-039  - Old Christ Church (Dover)</v>
      </c>
      <c r="D42" s="96" t="s">
        <v>269</v>
      </c>
      <c r="E42" s="96" t="s">
        <v>29</v>
      </c>
      <c r="F42" s="97" t="s">
        <v>191</v>
      </c>
      <c r="G42" s="97"/>
      <c r="H42" s="96" t="s">
        <v>84</v>
      </c>
      <c r="I42" s="99" t="s">
        <v>50</v>
      </c>
      <c r="J42" s="95">
        <v>17</v>
      </c>
      <c r="K42" s="95">
        <v>32</v>
      </c>
      <c r="L42" s="112">
        <v>39.15466</v>
      </c>
      <c r="M42" s="112">
        <v>-75.522959999999998</v>
      </c>
      <c r="N42" s="101" t="s">
        <v>270</v>
      </c>
      <c r="O42" s="82" t="s">
        <v>35</v>
      </c>
      <c r="P42" s="82">
        <v>19901</v>
      </c>
      <c r="R42" s="82" t="s">
        <v>37</v>
      </c>
      <c r="T42" s="82" t="s">
        <v>56</v>
      </c>
      <c r="U42" s="97">
        <v>1941</v>
      </c>
      <c r="V42" s="97">
        <v>1941</v>
      </c>
      <c r="W42" s="97" t="s">
        <v>39</v>
      </c>
      <c r="X42" s="97">
        <v>2015</v>
      </c>
      <c r="Y42" s="102" t="s">
        <v>271</v>
      </c>
      <c r="Z42" s="102" t="s">
        <v>272</v>
      </c>
    </row>
    <row r="43" spans="1:26" s="82" customFormat="1" ht="45" x14ac:dyDescent="0.25">
      <c r="A43" s="82" t="s">
        <v>273</v>
      </c>
      <c r="B43" s="82" t="s">
        <v>274</v>
      </c>
      <c r="C43" s="82" t="str">
        <f t="shared" si="1"/>
        <v>KC-040  - Octagonal School House</v>
      </c>
      <c r="D43" s="96" t="s">
        <v>275</v>
      </c>
      <c r="E43" s="96" t="s">
        <v>29</v>
      </c>
      <c r="F43" s="97" t="s">
        <v>276</v>
      </c>
      <c r="G43" s="97"/>
      <c r="H43" s="96" t="s">
        <v>277</v>
      </c>
      <c r="I43" s="99" t="s">
        <v>278</v>
      </c>
      <c r="J43" s="95">
        <v>16</v>
      </c>
      <c r="K43" s="95">
        <v>28</v>
      </c>
      <c r="L43" s="100" t="s">
        <v>279</v>
      </c>
      <c r="M43" s="100" t="s">
        <v>280</v>
      </c>
      <c r="N43" s="101" t="s">
        <v>281</v>
      </c>
      <c r="O43" s="82" t="s">
        <v>35</v>
      </c>
      <c r="P43" s="82">
        <v>19901</v>
      </c>
      <c r="R43" s="82" t="s">
        <v>37</v>
      </c>
      <c r="S43" s="82" t="s">
        <v>282</v>
      </c>
      <c r="T43" s="82" t="s">
        <v>38</v>
      </c>
      <c r="U43" s="97">
        <v>1969</v>
      </c>
      <c r="V43" s="97">
        <v>1969</v>
      </c>
      <c r="W43" s="97" t="s">
        <v>39</v>
      </c>
      <c r="X43" s="97">
        <v>2021</v>
      </c>
      <c r="Y43" s="131" t="s">
        <v>283</v>
      </c>
      <c r="Z43" s="102" t="s">
        <v>284</v>
      </c>
    </row>
    <row r="44" spans="1:26" s="40" customFormat="1" ht="38.25" x14ac:dyDescent="0.25">
      <c r="A44" s="104" t="s">
        <v>285</v>
      </c>
      <c r="B44" s="104" t="s">
        <v>286</v>
      </c>
      <c r="C44" s="104" t="str">
        <f t="shared" si="1"/>
        <v>KC-041  - Camden</v>
      </c>
      <c r="D44" s="106" t="s">
        <v>287</v>
      </c>
      <c r="E44" s="106" t="s">
        <v>71</v>
      </c>
      <c r="F44" s="107" t="s">
        <v>205</v>
      </c>
      <c r="G44" s="107"/>
      <c r="H44" s="106" t="s">
        <v>222</v>
      </c>
      <c r="I44" s="108"/>
      <c r="J44" s="105">
        <v>17</v>
      </c>
      <c r="K44" s="105">
        <v>34</v>
      </c>
      <c r="L44" s="109">
        <v>39.113489000000001</v>
      </c>
      <c r="M44" s="109">
        <v>-75.537552000000005</v>
      </c>
      <c r="N44" s="110" t="s">
        <v>288</v>
      </c>
      <c r="O44" s="104" t="s">
        <v>286</v>
      </c>
      <c r="P44" s="104">
        <v>19934</v>
      </c>
      <c r="Q44" s="104"/>
      <c r="R44" s="104" t="s">
        <v>37</v>
      </c>
      <c r="S44" s="104" t="s">
        <v>289</v>
      </c>
      <c r="T44" s="104" t="s">
        <v>56</v>
      </c>
      <c r="U44" s="107" t="s">
        <v>66</v>
      </c>
      <c r="V44" s="107" t="s">
        <v>66</v>
      </c>
      <c r="W44" s="107" t="s">
        <v>39</v>
      </c>
      <c r="X44" s="107"/>
      <c r="Y44" s="46"/>
      <c r="Z44" s="46"/>
    </row>
    <row r="45" spans="1:26" s="81" customFormat="1" ht="30" x14ac:dyDescent="0.25">
      <c r="A45" s="82" t="s">
        <v>290</v>
      </c>
      <c r="B45" s="82" t="s">
        <v>291</v>
      </c>
      <c r="C45" s="82" t="str">
        <f t="shared" si="1"/>
        <v>KC-042  - Delaware State College</v>
      </c>
      <c r="D45" s="84" t="s">
        <v>292</v>
      </c>
      <c r="E45" s="84" t="s">
        <v>29</v>
      </c>
      <c r="F45" s="85" t="s">
        <v>276</v>
      </c>
      <c r="G45" s="85" t="s">
        <v>293</v>
      </c>
      <c r="H45" s="84" t="s">
        <v>294</v>
      </c>
      <c r="I45" s="86" t="s">
        <v>27</v>
      </c>
      <c r="J45" s="83">
        <v>17</v>
      </c>
      <c r="K45" s="83">
        <v>31</v>
      </c>
      <c r="L45" s="92">
        <v>39.18788</v>
      </c>
      <c r="M45" s="92">
        <v>-75.540559999999999</v>
      </c>
      <c r="N45" s="88" t="s">
        <v>295</v>
      </c>
      <c r="O45" s="81" t="s">
        <v>35</v>
      </c>
      <c r="P45" s="81">
        <v>19901</v>
      </c>
      <c r="R45" s="81" t="s">
        <v>37</v>
      </c>
      <c r="T45" s="81" t="s">
        <v>38</v>
      </c>
      <c r="U45" s="85" t="s">
        <v>66</v>
      </c>
      <c r="V45" s="85" t="s">
        <v>66</v>
      </c>
      <c r="W45" s="85" t="s">
        <v>39</v>
      </c>
      <c r="X45" s="85">
        <v>1988</v>
      </c>
      <c r="Y45" s="131" t="s">
        <v>296</v>
      </c>
      <c r="Z45" s="89" t="s">
        <v>297</v>
      </c>
    </row>
    <row r="46" spans="1:26" s="82" customFormat="1" ht="51" x14ac:dyDescent="0.25">
      <c r="A46" s="82" t="s">
        <v>298</v>
      </c>
      <c r="B46" s="82" t="s">
        <v>299</v>
      </c>
      <c r="C46" s="82" t="str">
        <f t="shared" si="1"/>
        <v>KC-043  - Bishop Richard Allen</v>
      </c>
      <c r="D46" s="96" t="s">
        <v>300</v>
      </c>
      <c r="E46" s="96" t="s">
        <v>29</v>
      </c>
      <c r="F46" s="97" t="s">
        <v>62</v>
      </c>
      <c r="G46" s="97" t="s">
        <v>293</v>
      </c>
      <c r="H46" s="96" t="s">
        <v>84</v>
      </c>
      <c r="I46" s="99" t="s">
        <v>301</v>
      </c>
      <c r="J46" s="95">
        <v>17</v>
      </c>
      <c r="K46" s="95">
        <v>31</v>
      </c>
      <c r="L46" s="112">
        <v>39.158520000000003</v>
      </c>
      <c r="M46" s="112">
        <v>-75.522589999999994</v>
      </c>
      <c r="N46" s="101" t="s">
        <v>302</v>
      </c>
      <c r="O46" s="82" t="s">
        <v>35</v>
      </c>
      <c r="P46" s="82">
        <v>19901</v>
      </c>
      <c r="R46" s="82" t="s">
        <v>37</v>
      </c>
      <c r="S46" s="82" t="s">
        <v>303</v>
      </c>
      <c r="T46" s="82" t="s">
        <v>56</v>
      </c>
      <c r="U46" s="97" t="s">
        <v>66</v>
      </c>
      <c r="V46" s="97" t="s">
        <v>66</v>
      </c>
      <c r="W46" s="97" t="s">
        <v>66</v>
      </c>
      <c r="X46" s="97">
        <v>1989</v>
      </c>
      <c r="Y46" s="114" t="s">
        <v>304</v>
      </c>
      <c r="Z46" s="102" t="s">
        <v>305</v>
      </c>
    </row>
    <row r="47" spans="1:26" s="82" customFormat="1" ht="45" x14ac:dyDescent="0.25">
      <c r="A47" s="82" t="s">
        <v>306</v>
      </c>
      <c r="B47" s="82" t="s">
        <v>307</v>
      </c>
      <c r="C47" s="82" t="str">
        <f t="shared" si="1"/>
        <v>KC-044  - St. Jones Neck: Site of Settlement in the 1660's</v>
      </c>
      <c r="D47" s="96" t="s">
        <v>308</v>
      </c>
      <c r="E47" s="96" t="s">
        <v>29</v>
      </c>
      <c r="F47" s="97" t="s">
        <v>30</v>
      </c>
      <c r="G47" s="97"/>
      <c r="H47" s="96" t="s">
        <v>309</v>
      </c>
      <c r="I47" s="99" t="s">
        <v>301</v>
      </c>
      <c r="J47" s="95">
        <v>16</v>
      </c>
      <c r="K47" s="95">
        <v>32</v>
      </c>
      <c r="L47" s="100">
        <v>39.101959999999998</v>
      </c>
      <c r="M47" s="100">
        <v>-75.441599999999994</v>
      </c>
      <c r="N47" s="101" t="s">
        <v>310</v>
      </c>
      <c r="O47" s="82" t="s">
        <v>35</v>
      </c>
      <c r="P47" s="82">
        <v>19901</v>
      </c>
      <c r="R47" s="82" t="s">
        <v>37</v>
      </c>
      <c r="T47" s="82" t="s">
        <v>38</v>
      </c>
      <c r="U47" s="97">
        <v>1990</v>
      </c>
      <c r="V47" s="97">
        <v>1990</v>
      </c>
      <c r="W47" s="97" t="s">
        <v>39</v>
      </c>
      <c r="X47" s="97"/>
      <c r="Y47" s="131" t="s">
        <v>311</v>
      </c>
      <c r="Z47" s="102" t="s">
        <v>312</v>
      </c>
    </row>
    <row r="48" spans="1:26" s="82" customFormat="1" ht="45" x14ac:dyDescent="0.25">
      <c r="A48" s="82" t="s">
        <v>313</v>
      </c>
      <c r="B48" s="82" t="s">
        <v>314</v>
      </c>
      <c r="C48" s="82" t="str">
        <f t="shared" si="1"/>
        <v>KC-045  - Delaware State College High School</v>
      </c>
      <c r="D48" s="96" t="s">
        <v>315</v>
      </c>
      <c r="E48" s="96" t="s">
        <v>29</v>
      </c>
      <c r="F48" s="97" t="s">
        <v>276</v>
      </c>
      <c r="G48" s="97" t="s">
        <v>293</v>
      </c>
      <c r="H48" s="96"/>
      <c r="I48" s="99" t="s">
        <v>316</v>
      </c>
      <c r="J48" s="95">
        <v>17</v>
      </c>
      <c r="K48" s="95">
        <v>31</v>
      </c>
      <c r="L48" s="112">
        <v>39.18421</v>
      </c>
      <c r="M48" s="112">
        <v>-75.544640000000001</v>
      </c>
      <c r="N48" s="101" t="s">
        <v>317</v>
      </c>
      <c r="O48" s="82" t="s">
        <v>35</v>
      </c>
      <c r="P48" s="82">
        <v>19901</v>
      </c>
      <c r="R48" s="82" t="s">
        <v>37</v>
      </c>
      <c r="T48" s="82" t="s">
        <v>38</v>
      </c>
      <c r="U48" s="97">
        <v>1991</v>
      </c>
      <c r="V48" s="97">
        <v>1991</v>
      </c>
      <c r="W48" s="97" t="s">
        <v>39</v>
      </c>
      <c r="X48" s="97"/>
      <c r="Y48" s="102" t="s">
        <v>318</v>
      </c>
      <c r="Z48" s="102" t="s">
        <v>319</v>
      </c>
    </row>
    <row r="49" spans="1:26" s="82" customFormat="1" ht="60" x14ac:dyDescent="0.25">
      <c r="A49" s="82" t="s">
        <v>320</v>
      </c>
      <c r="B49" s="82" t="s">
        <v>321</v>
      </c>
      <c r="C49" s="82" t="str">
        <f t="shared" si="1"/>
        <v>KC-046  - Home of Judge Thomas White- Refuge of Francis Asbury</v>
      </c>
      <c r="D49" s="96" t="s">
        <v>322</v>
      </c>
      <c r="E49" s="96" t="s">
        <v>29</v>
      </c>
      <c r="F49" s="97" t="s">
        <v>30</v>
      </c>
      <c r="G49" s="97"/>
      <c r="H49" s="96" t="s">
        <v>323</v>
      </c>
      <c r="I49" s="99" t="s">
        <v>301</v>
      </c>
      <c r="J49" s="95">
        <v>15</v>
      </c>
      <c r="K49" s="95">
        <v>30</v>
      </c>
      <c r="L49" s="100" t="s">
        <v>324</v>
      </c>
      <c r="M49" s="100" t="s">
        <v>325</v>
      </c>
      <c r="N49" s="101" t="s">
        <v>326</v>
      </c>
      <c r="O49" s="82" t="s">
        <v>327</v>
      </c>
      <c r="P49" s="82">
        <v>19952</v>
      </c>
      <c r="R49" s="82" t="s">
        <v>37</v>
      </c>
      <c r="S49" s="82" t="s">
        <v>328</v>
      </c>
      <c r="T49" s="82" t="s">
        <v>38</v>
      </c>
      <c r="U49" s="97">
        <v>1992</v>
      </c>
      <c r="V49" s="97">
        <v>1992</v>
      </c>
      <c r="W49" s="97" t="s">
        <v>39</v>
      </c>
      <c r="X49" s="97">
        <v>2013</v>
      </c>
      <c r="Y49" s="102" t="s">
        <v>329</v>
      </c>
      <c r="Z49" s="102" t="s">
        <v>330</v>
      </c>
    </row>
    <row r="50" spans="1:26" s="82" customFormat="1" ht="45" x14ac:dyDescent="0.25">
      <c r="A50" s="82" t="s">
        <v>331</v>
      </c>
      <c r="B50" s="82" t="s">
        <v>332</v>
      </c>
      <c r="C50" s="82" t="str">
        <f t="shared" si="1"/>
        <v>KC-047  - Clark's Corner</v>
      </c>
      <c r="D50" s="96" t="s">
        <v>333</v>
      </c>
      <c r="E50" s="96" t="s">
        <v>29</v>
      </c>
      <c r="F50" s="97" t="s">
        <v>30</v>
      </c>
      <c r="G50" s="97"/>
      <c r="H50" s="96" t="s">
        <v>334</v>
      </c>
      <c r="I50" s="99"/>
      <c r="J50" s="95">
        <v>15</v>
      </c>
      <c r="K50" s="95">
        <v>30</v>
      </c>
      <c r="L50" s="112">
        <v>38.924140000000001</v>
      </c>
      <c r="M50" s="112">
        <v>-75.5779</v>
      </c>
      <c r="N50" s="101" t="s">
        <v>335</v>
      </c>
      <c r="O50" s="82" t="s">
        <v>327</v>
      </c>
      <c r="P50" s="82">
        <v>19952</v>
      </c>
      <c r="R50" s="82" t="s">
        <v>37</v>
      </c>
      <c r="S50" s="82" t="s">
        <v>336</v>
      </c>
      <c r="T50" s="82" t="s">
        <v>38</v>
      </c>
      <c r="U50" s="97">
        <v>1992</v>
      </c>
      <c r="V50" s="97">
        <v>1992</v>
      </c>
      <c r="W50" s="97" t="s">
        <v>39</v>
      </c>
      <c r="X50" s="97">
        <v>2022</v>
      </c>
      <c r="Y50" s="180" t="s">
        <v>337</v>
      </c>
      <c r="Z50" s="102" t="s">
        <v>338</v>
      </c>
    </row>
    <row r="51" spans="1:26" s="40" customFormat="1" ht="30" x14ac:dyDescent="0.25">
      <c r="A51" s="50" t="s">
        <v>339</v>
      </c>
      <c r="B51" s="50" t="s">
        <v>340</v>
      </c>
      <c r="C51" s="50" t="str">
        <f t="shared" si="1"/>
        <v>KC-048  - Harrington (East Side)</v>
      </c>
      <c r="D51" s="42" t="s">
        <v>287</v>
      </c>
      <c r="E51" s="42" t="s">
        <v>71</v>
      </c>
      <c r="F51" s="43" t="s">
        <v>205</v>
      </c>
      <c r="G51" s="43"/>
      <c r="H51" s="42"/>
      <c r="I51" s="44" t="s">
        <v>341</v>
      </c>
      <c r="J51" s="41">
        <v>15</v>
      </c>
      <c r="K51" s="41">
        <v>30</v>
      </c>
      <c r="L51" s="167">
        <v>38.924033000000001</v>
      </c>
      <c r="M51" s="167">
        <v>-75.563659000000001</v>
      </c>
      <c r="N51" s="45" t="s">
        <v>342</v>
      </c>
      <c r="O51" s="40" t="s">
        <v>327</v>
      </c>
      <c r="P51" s="40">
        <v>19952</v>
      </c>
      <c r="R51" s="40" t="s">
        <v>37</v>
      </c>
      <c r="S51" s="166" t="s">
        <v>289</v>
      </c>
      <c r="T51" s="40" t="s">
        <v>38</v>
      </c>
      <c r="U51" s="43">
        <v>1992</v>
      </c>
      <c r="V51" s="43">
        <v>1992</v>
      </c>
      <c r="W51" s="43" t="s">
        <v>39</v>
      </c>
      <c r="X51" s="43"/>
      <c r="Y51" s="46"/>
      <c r="Z51" s="46"/>
    </row>
    <row r="52" spans="1:26" s="82" customFormat="1" ht="38.25" x14ac:dyDescent="0.25">
      <c r="A52" s="82" t="s">
        <v>343</v>
      </c>
      <c r="B52" s="82" t="s">
        <v>344</v>
      </c>
      <c r="C52" s="82" t="str">
        <f t="shared" si="1"/>
        <v>KC-049  - Harrington (West Side)</v>
      </c>
      <c r="D52" s="96" t="s">
        <v>345</v>
      </c>
      <c r="E52" s="96" t="s">
        <v>346</v>
      </c>
      <c r="F52" s="97" t="s">
        <v>205</v>
      </c>
      <c r="G52" s="97"/>
      <c r="H52" s="96" t="s">
        <v>347</v>
      </c>
      <c r="I52" s="99" t="s">
        <v>341</v>
      </c>
      <c r="J52" s="95">
        <v>15</v>
      </c>
      <c r="K52" s="95">
        <v>30</v>
      </c>
      <c r="L52" s="112">
        <v>38.918689999999998</v>
      </c>
      <c r="M52" s="112">
        <v>-75.591610000000003</v>
      </c>
      <c r="N52" s="101" t="s">
        <v>348</v>
      </c>
      <c r="O52" s="82" t="s">
        <v>327</v>
      </c>
      <c r="P52" s="82">
        <v>19952</v>
      </c>
      <c r="R52" s="82" t="s">
        <v>37</v>
      </c>
      <c r="S52" s="82" t="s">
        <v>349</v>
      </c>
      <c r="T52" s="82" t="s">
        <v>38</v>
      </c>
      <c r="U52" s="97">
        <v>1992</v>
      </c>
      <c r="V52" s="97">
        <v>1992</v>
      </c>
      <c r="W52" s="97" t="s">
        <v>39</v>
      </c>
      <c r="X52" s="97"/>
      <c r="Y52" s="131" t="s">
        <v>350</v>
      </c>
      <c r="Z52" s="131" t="s">
        <v>351</v>
      </c>
    </row>
    <row r="53" spans="1:26" s="82" customFormat="1" ht="45" x14ac:dyDescent="0.25">
      <c r="A53" s="82" t="s">
        <v>352</v>
      </c>
      <c r="B53" s="82" t="s">
        <v>5344</v>
      </c>
      <c r="C53" s="82" t="str">
        <f t="shared" si="1"/>
        <v>KC-050  - Star Hill A.M.E. Church</v>
      </c>
      <c r="D53" s="96" t="s">
        <v>353</v>
      </c>
      <c r="E53" s="96" t="s">
        <v>29</v>
      </c>
      <c r="F53" s="97" t="s">
        <v>191</v>
      </c>
      <c r="G53" s="97" t="s">
        <v>293</v>
      </c>
      <c r="H53" s="96" t="s">
        <v>354</v>
      </c>
      <c r="I53" s="99"/>
      <c r="J53" s="95">
        <v>16</v>
      </c>
      <c r="K53" s="95">
        <v>34</v>
      </c>
      <c r="L53" s="112">
        <v>39.101700000000001</v>
      </c>
      <c r="M53" s="112">
        <v>-75.536360000000002</v>
      </c>
      <c r="N53" s="101" t="s">
        <v>355</v>
      </c>
      <c r="O53" s="82" t="s">
        <v>35</v>
      </c>
      <c r="P53" s="82">
        <v>19901</v>
      </c>
      <c r="R53" s="82" t="s">
        <v>37</v>
      </c>
      <c r="T53" s="82" t="s">
        <v>38</v>
      </c>
      <c r="U53" s="97">
        <v>1993</v>
      </c>
      <c r="V53" s="97">
        <v>1993</v>
      </c>
      <c r="W53" s="97" t="s">
        <v>39</v>
      </c>
      <c r="X53" s="97"/>
      <c r="Y53" s="102" t="s">
        <v>356</v>
      </c>
      <c r="Z53" s="102" t="s">
        <v>357</v>
      </c>
    </row>
    <row r="54" spans="1:26" s="82" customFormat="1" ht="45" x14ac:dyDescent="0.25">
      <c r="A54" s="82" t="s">
        <v>358</v>
      </c>
      <c r="B54" s="82" t="s">
        <v>359</v>
      </c>
      <c r="C54" s="82" t="str">
        <f t="shared" si="1"/>
        <v>KC-051  - Delaware State Fair</v>
      </c>
      <c r="D54" s="96" t="s">
        <v>360</v>
      </c>
      <c r="E54" s="96" t="s">
        <v>29</v>
      </c>
      <c r="F54" s="97" t="s">
        <v>42</v>
      </c>
      <c r="G54" s="97"/>
      <c r="H54" s="96"/>
      <c r="I54" s="99"/>
      <c r="J54" s="95">
        <v>15</v>
      </c>
      <c r="K54" s="95">
        <v>30</v>
      </c>
      <c r="L54" s="112">
        <v>38.912700000000001</v>
      </c>
      <c r="M54" s="112">
        <v>-75.571010000000001</v>
      </c>
      <c r="N54" s="101" t="s">
        <v>361</v>
      </c>
      <c r="O54" s="82" t="s">
        <v>327</v>
      </c>
      <c r="P54" s="82">
        <v>19952</v>
      </c>
      <c r="R54" s="82" t="s">
        <v>37</v>
      </c>
      <c r="S54" s="82" t="s">
        <v>362</v>
      </c>
      <c r="T54" s="82" t="s">
        <v>38</v>
      </c>
      <c r="U54" s="97">
        <v>1994</v>
      </c>
      <c r="V54" s="97">
        <v>1994</v>
      </c>
      <c r="W54" s="97" t="s">
        <v>39</v>
      </c>
      <c r="X54" s="97">
        <v>1998</v>
      </c>
      <c r="Y54" s="102" t="s">
        <v>363</v>
      </c>
      <c r="Z54" s="102" t="s">
        <v>364</v>
      </c>
    </row>
    <row r="55" spans="1:26" s="82" customFormat="1" ht="45" x14ac:dyDescent="0.25">
      <c r="A55" s="82" t="s">
        <v>365</v>
      </c>
      <c r="B55" s="82" t="s">
        <v>366</v>
      </c>
      <c r="C55" s="82" t="str">
        <f t="shared" si="1"/>
        <v>KC-052  - Thomas' Chapel (Chapeltown)</v>
      </c>
      <c r="D55" s="96" t="s">
        <v>367</v>
      </c>
      <c r="E55" s="96" t="s">
        <v>130</v>
      </c>
      <c r="F55" s="97" t="s">
        <v>191</v>
      </c>
      <c r="G55" s="97"/>
      <c r="H55" s="96" t="s">
        <v>153</v>
      </c>
      <c r="I55" s="99" t="s">
        <v>301</v>
      </c>
      <c r="J55" s="95">
        <v>15</v>
      </c>
      <c r="K55" s="95">
        <v>30</v>
      </c>
      <c r="L55" s="112">
        <v>39.098860000000002</v>
      </c>
      <c r="M55" s="112">
        <v>-75.703670000000002</v>
      </c>
      <c r="N55" s="101" t="s">
        <v>368</v>
      </c>
      <c r="O55" s="82" t="s">
        <v>133</v>
      </c>
      <c r="P55" s="82">
        <v>19964</v>
      </c>
      <c r="R55" s="82" t="s">
        <v>37</v>
      </c>
      <c r="S55" s="82" t="s">
        <v>369</v>
      </c>
      <c r="T55" s="82" t="s">
        <v>38</v>
      </c>
      <c r="U55" s="97">
        <v>1994</v>
      </c>
      <c r="V55" s="97">
        <v>1994</v>
      </c>
      <c r="W55" s="97" t="s">
        <v>39</v>
      </c>
      <c r="X55" s="97"/>
      <c r="Y55" s="102" t="s">
        <v>370</v>
      </c>
      <c r="Z55" s="102" t="s">
        <v>371</v>
      </c>
    </row>
    <row r="56" spans="1:26" s="82" customFormat="1" ht="45" x14ac:dyDescent="0.25">
      <c r="A56" s="82" t="s">
        <v>372</v>
      </c>
      <c r="B56" s="82" t="s">
        <v>373</v>
      </c>
      <c r="C56" s="82" t="str">
        <f t="shared" si="1"/>
        <v>KC-053  - Byfield</v>
      </c>
      <c r="D56" s="96" t="s">
        <v>374</v>
      </c>
      <c r="E56" s="96" t="s">
        <v>29</v>
      </c>
      <c r="F56" s="97" t="s">
        <v>30</v>
      </c>
      <c r="G56" s="97"/>
      <c r="H56" s="96"/>
      <c r="I56" s="99" t="s">
        <v>375</v>
      </c>
      <c r="J56" s="95">
        <v>16</v>
      </c>
      <c r="K56" s="95">
        <v>32</v>
      </c>
      <c r="L56" s="100" t="s">
        <v>376</v>
      </c>
      <c r="M56" s="100" t="s">
        <v>377</v>
      </c>
      <c r="N56" s="101" t="s">
        <v>378</v>
      </c>
      <c r="O56" s="82" t="s">
        <v>35</v>
      </c>
      <c r="P56" s="82">
        <v>19901</v>
      </c>
      <c r="R56" s="82" t="s">
        <v>37</v>
      </c>
      <c r="S56" s="82" t="s">
        <v>379</v>
      </c>
      <c r="T56" s="82" t="s">
        <v>38</v>
      </c>
      <c r="U56" s="97">
        <v>1994</v>
      </c>
      <c r="V56" s="97">
        <v>1994</v>
      </c>
      <c r="W56" s="97" t="s">
        <v>39</v>
      </c>
      <c r="X56" s="97">
        <v>2005</v>
      </c>
      <c r="Y56" s="102" t="s">
        <v>380</v>
      </c>
      <c r="Z56" s="102" t="s">
        <v>381</v>
      </c>
    </row>
    <row r="57" spans="1:26" s="82" customFormat="1" ht="45" x14ac:dyDescent="0.25">
      <c r="A57" s="82" t="s">
        <v>382</v>
      </c>
      <c r="B57" s="82" t="s">
        <v>383</v>
      </c>
      <c r="C57" s="82" t="str">
        <f t="shared" si="1"/>
        <v>KC-054  - Town of Felton</v>
      </c>
      <c r="D57" s="96" t="s">
        <v>384</v>
      </c>
      <c r="E57" s="96" t="s">
        <v>130</v>
      </c>
      <c r="F57" s="97" t="s">
        <v>205</v>
      </c>
      <c r="G57" s="97"/>
      <c r="H57" s="96" t="s">
        <v>385</v>
      </c>
      <c r="I57" s="99" t="s">
        <v>301</v>
      </c>
      <c r="J57" s="95">
        <v>15</v>
      </c>
      <c r="K57" s="95">
        <v>30</v>
      </c>
      <c r="L57" s="112">
        <v>39.008769999999998</v>
      </c>
      <c r="M57" s="112">
        <v>-75.576149999999998</v>
      </c>
      <c r="N57" s="101" t="s">
        <v>386</v>
      </c>
      <c r="O57" s="82" t="s">
        <v>155</v>
      </c>
      <c r="P57" s="82">
        <v>19943</v>
      </c>
      <c r="R57" s="82" t="s">
        <v>37</v>
      </c>
      <c r="S57" s="82" t="s">
        <v>369</v>
      </c>
      <c r="T57" s="82" t="s">
        <v>38</v>
      </c>
      <c r="U57" s="97">
        <v>1995</v>
      </c>
      <c r="V57" s="97"/>
      <c r="W57" s="97" t="s">
        <v>39</v>
      </c>
      <c r="X57" s="97"/>
      <c r="Y57" s="102" t="s">
        <v>387</v>
      </c>
      <c r="Z57" s="102" t="s">
        <v>388</v>
      </c>
    </row>
    <row r="58" spans="1:26" s="82" customFormat="1" ht="45" x14ac:dyDescent="0.25">
      <c r="A58" s="82" t="s">
        <v>389</v>
      </c>
      <c r="B58" s="82" t="s">
        <v>390</v>
      </c>
      <c r="C58" s="82" t="str">
        <f t="shared" si="1"/>
        <v>KC-055  - Brecknock</v>
      </c>
      <c r="D58" s="96" t="s">
        <v>391</v>
      </c>
      <c r="E58" s="96" t="s">
        <v>29</v>
      </c>
      <c r="F58" s="97" t="s">
        <v>30</v>
      </c>
      <c r="G58" s="97"/>
      <c r="H58" s="96" t="s">
        <v>392</v>
      </c>
      <c r="I58" s="99" t="s">
        <v>393</v>
      </c>
      <c r="J58" s="95">
        <v>17</v>
      </c>
      <c r="K58" s="95">
        <v>34</v>
      </c>
      <c r="L58" s="112">
        <v>39.121290000000002</v>
      </c>
      <c r="M58" s="112">
        <v>-75.534589999999994</v>
      </c>
      <c r="N58" s="101" t="s">
        <v>394</v>
      </c>
      <c r="O58" s="82" t="s">
        <v>286</v>
      </c>
      <c r="P58" s="82">
        <v>19934</v>
      </c>
      <c r="R58" s="82" t="s">
        <v>37</v>
      </c>
      <c r="T58" s="82" t="s">
        <v>38</v>
      </c>
      <c r="U58" s="97">
        <v>1996</v>
      </c>
      <c r="V58" s="97">
        <v>1996</v>
      </c>
      <c r="W58" s="97" t="s">
        <v>39</v>
      </c>
      <c r="X58" s="97"/>
      <c r="Y58" s="102" t="s">
        <v>395</v>
      </c>
      <c r="Z58" s="102" t="s">
        <v>396</v>
      </c>
    </row>
    <row r="59" spans="1:26" s="82" customFormat="1" ht="51" x14ac:dyDescent="0.25">
      <c r="A59" s="82" t="s">
        <v>397</v>
      </c>
      <c r="B59" s="82" t="s">
        <v>398</v>
      </c>
      <c r="C59" s="82" t="str">
        <f t="shared" si="1"/>
        <v>KC-056  - Site of Old Asbury Methodist Church (Smyrna)</v>
      </c>
      <c r="D59" s="96" t="s">
        <v>399</v>
      </c>
      <c r="E59" s="96" t="s">
        <v>29</v>
      </c>
      <c r="F59" s="97" t="s">
        <v>191</v>
      </c>
      <c r="G59" s="97"/>
      <c r="H59" s="96" t="s">
        <v>400</v>
      </c>
      <c r="I59" s="99" t="s">
        <v>401</v>
      </c>
      <c r="J59" s="95">
        <v>14</v>
      </c>
      <c r="K59" s="95">
        <v>28</v>
      </c>
      <c r="L59" s="112">
        <v>39.300829999999998</v>
      </c>
      <c r="M59" s="112">
        <v>-75.609620000000007</v>
      </c>
      <c r="N59" s="101" t="s">
        <v>402</v>
      </c>
      <c r="O59" s="82" t="s">
        <v>54</v>
      </c>
      <c r="P59" s="82">
        <v>19977</v>
      </c>
      <c r="R59" s="82" t="s">
        <v>37</v>
      </c>
      <c r="S59" s="82" t="s">
        <v>403</v>
      </c>
      <c r="T59" s="82" t="s">
        <v>38</v>
      </c>
      <c r="U59" s="97">
        <v>1996</v>
      </c>
      <c r="V59" s="97">
        <v>1996</v>
      </c>
      <c r="W59" s="97" t="s">
        <v>39</v>
      </c>
      <c r="X59" s="97"/>
      <c r="Y59" s="102" t="s">
        <v>404</v>
      </c>
      <c r="Z59" s="102" t="s">
        <v>405</v>
      </c>
    </row>
    <row r="60" spans="1:26" s="82" customFormat="1" ht="45" x14ac:dyDescent="0.25">
      <c r="A60" s="82" t="s">
        <v>406</v>
      </c>
      <c r="B60" s="82" t="s">
        <v>407</v>
      </c>
      <c r="C60" s="82" t="str">
        <f>A60 &amp; " - " &amp; B60</f>
        <v>KC-057  - Geographic Center of Delaware</v>
      </c>
      <c r="D60" s="96" t="s">
        <v>408</v>
      </c>
      <c r="E60" s="96" t="s">
        <v>29</v>
      </c>
      <c r="F60" s="97" t="s">
        <v>409</v>
      </c>
      <c r="G60" s="97"/>
      <c r="H60" s="96" t="s">
        <v>410</v>
      </c>
      <c r="I60" s="99" t="s">
        <v>411</v>
      </c>
      <c r="J60" s="95">
        <v>16</v>
      </c>
      <c r="K60" s="95">
        <v>30</v>
      </c>
      <c r="L60" s="112">
        <v>39.005890000000001</v>
      </c>
      <c r="M60" s="112">
        <v>-75.544550000000001</v>
      </c>
      <c r="N60" s="101" t="s">
        <v>412</v>
      </c>
      <c r="O60" s="82" t="s">
        <v>155</v>
      </c>
      <c r="P60" s="82">
        <v>19943</v>
      </c>
      <c r="R60" s="82" t="s">
        <v>37</v>
      </c>
      <c r="S60" s="82" t="s">
        <v>413</v>
      </c>
      <c r="T60" s="82" t="s">
        <v>38</v>
      </c>
      <c r="U60" s="97">
        <v>1997</v>
      </c>
      <c r="V60" s="97">
        <v>1997</v>
      </c>
      <c r="W60" s="97" t="s">
        <v>39</v>
      </c>
      <c r="X60" s="97">
        <v>2013</v>
      </c>
      <c r="Y60" s="102" t="s">
        <v>414</v>
      </c>
      <c r="Z60" s="102" t="s">
        <v>415</v>
      </c>
    </row>
    <row r="61" spans="1:26" s="82" customFormat="1" ht="45" x14ac:dyDescent="0.25">
      <c r="A61" s="82" t="s">
        <v>416</v>
      </c>
      <c r="B61" s="82" t="s">
        <v>417</v>
      </c>
      <c r="C61" s="82" t="str">
        <f t="shared" ref="C61:C92" si="2">A61 &amp; " - " &amp; B61</f>
        <v>KC-058  - Immigrant Jewish Farmers</v>
      </c>
      <c r="D61" s="96" t="s">
        <v>418</v>
      </c>
      <c r="E61" s="96" t="s">
        <v>29</v>
      </c>
      <c r="F61" s="97" t="s">
        <v>42</v>
      </c>
      <c r="G61" s="97"/>
      <c r="H61" s="96" t="s">
        <v>419</v>
      </c>
      <c r="I61" s="99"/>
      <c r="J61" s="95">
        <v>15</v>
      </c>
      <c r="K61" s="95">
        <v>30</v>
      </c>
      <c r="L61" s="112">
        <v>39.042450000000002</v>
      </c>
      <c r="M61" s="112">
        <v>-75.591419999999999</v>
      </c>
      <c r="N61" s="101" t="s">
        <v>420</v>
      </c>
      <c r="O61" s="82" t="s">
        <v>421</v>
      </c>
      <c r="P61" s="82">
        <v>19979</v>
      </c>
      <c r="R61" s="82" t="s">
        <v>37</v>
      </c>
      <c r="S61" s="82" t="s">
        <v>422</v>
      </c>
      <c r="T61" s="82" t="s">
        <v>38</v>
      </c>
      <c r="U61" s="97">
        <v>1997</v>
      </c>
      <c r="V61" s="97">
        <v>1997</v>
      </c>
      <c r="W61" s="97" t="s">
        <v>39</v>
      </c>
      <c r="X61" s="97"/>
      <c r="Y61" s="102" t="s">
        <v>423</v>
      </c>
      <c r="Z61" s="102" t="s">
        <v>424</v>
      </c>
    </row>
    <row r="62" spans="1:26" s="82" customFormat="1" ht="75" customHeight="1" x14ac:dyDescent="0.25">
      <c r="A62" s="82" t="s">
        <v>425</v>
      </c>
      <c r="B62" s="82" t="s">
        <v>426</v>
      </c>
      <c r="C62" s="82" t="str">
        <f t="shared" si="2"/>
        <v>KC-059  - Town of Clayton</v>
      </c>
      <c r="D62" s="115" t="s">
        <v>427</v>
      </c>
      <c r="E62" s="96" t="s">
        <v>29</v>
      </c>
      <c r="F62" s="97" t="s">
        <v>205</v>
      </c>
      <c r="G62" s="97"/>
      <c r="H62" s="96"/>
      <c r="I62" s="99" t="s">
        <v>401</v>
      </c>
      <c r="J62" s="95">
        <v>14</v>
      </c>
      <c r="K62" s="95">
        <v>28</v>
      </c>
      <c r="L62" s="112">
        <v>39.291719999999998</v>
      </c>
      <c r="M62" s="112">
        <v>-75.633129999999994</v>
      </c>
      <c r="N62" s="101" t="s">
        <v>428</v>
      </c>
      <c r="O62" s="82" t="s">
        <v>101</v>
      </c>
      <c r="P62" s="82">
        <v>19938</v>
      </c>
      <c r="R62" s="82" t="s">
        <v>37</v>
      </c>
      <c r="T62" s="82" t="s">
        <v>38</v>
      </c>
      <c r="U62" s="97">
        <v>1997</v>
      </c>
      <c r="V62" s="97">
        <v>1997</v>
      </c>
      <c r="W62" s="97" t="s">
        <v>39</v>
      </c>
      <c r="X62" s="97"/>
      <c r="Y62" s="114" t="s">
        <v>429</v>
      </c>
      <c r="Z62" s="102" t="s">
        <v>430</v>
      </c>
    </row>
    <row r="63" spans="1:26" s="82" customFormat="1" ht="45" x14ac:dyDescent="0.25">
      <c r="A63" s="82" t="s">
        <v>431</v>
      </c>
      <c r="B63" s="82" t="s">
        <v>432</v>
      </c>
      <c r="C63" s="82" t="str">
        <f t="shared" si="2"/>
        <v>KC-060  - Loockerman Hall</v>
      </c>
      <c r="D63" s="96" t="s">
        <v>433</v>
      </c>
      <c r="E63" s="96" t="s">
        <v>29</v>
      </c>
      <c r="F63" s="97" t="s">
        <v>30</v>
      </c>
      <c r="G63" s="97" t="s">
        <v>293</v>
      </c>
      <c r="H63" s="96"/>
      <c r="I63" s="99"/>
      <c r="J63" s="95">
        <v>17</v>
      </c>
      <c r="K63" s="95">
        <v>31</v>
      </c>
      <c r="L63" s="112">
        <v>39.18526</v>
      </c>
      <c r="M63" s="112">
        <v>-75.544659999999993</v>
      </c>
      <c r="N63" s="101" t="s">
        <v>434</v>
      </c>
      <c r="O63" s="82" t="s">
        <v>35</v>
      </c>
      <c r="P63" s="82">
        <v>19901</v>
      </c>
      <c r="R63" s="82" t="s">
        <v>37</v>
      </c>
      <c r="T63" s="82" t="s">
        <v>435</v>
      </c>
      <c r="U63" s="97">
        <v>1998</v>
      </c>
      <c r="V63" s="97">
        <v>1998</v>
      </c>
      <c r="W63" s="97" t="s">
        <v>436</v>
      </c>
      <c r="X63" s="97"/>
      <c r="Y63" s="102" t="s">
        <v>437</v>
      </c>
      <c r="Z63" s="102" t="s">
        <v>438</v>
      </c>
    </row>
    <row r="64" spans="1:26" s="82" customFormat="1" ht="45" x14ac:dyDescent="0.25">
      <c r="A64" s="82" t="s">
        <v>439</v>
      </c>
      <c r="B64" s="82" t="s">
        <v>440</v>
      </c>
      <c r="C64" s="82" t="str">
        <f t="shared" si="2"/>
        <v>KC-060A  - Home of Allen McLane</v>
      </c>
      <c r="D64" s="96" t="s">
        <v>441</v>
      </c>
      <c r="E64" s="96" t="s">
        <v>29</v>
      </c>
      <c r="F64" s="97" t="s">
        <v>30</v>
      </c>
      <c r="G64" s="97"/>
      <c r="H64" s="96" t="s">
        <v>442</v>
      </c>
      <c r="I64" s="99" t="s">
        <v>443</v>
      </c>
      <c r="J64" s="95">
        <v>14</v>
      </c>
      <c r="K64" s="95">
        <v>28</v>
      </c>
      <c r="L64" s="112">
        <v>39.30059</v>
      </c>
      <c r="M64" s="112">
        <v>-75.608750000000001</v>
      </c>
      <c r="N64" s="101" t="s">
        <v>444</v>
      </c>
      <c r="O64" s="82" t="s">
        <v>54</v>
      </c>
      <c r="P64" s="82">
        <v>19977</v>
      </c>
      <c r="R64" s="82" t="s">
        <v>37</v>
      </c>
      <c r="T64" s="82" t="s">
        <v>435</v>
      </c>
      <c r="U64" s="97">
        <v>1997</v>
      </c>
      <c r="V64" s="97">
        <v>1997</v>
      </c>
      <c r="W64" s="97" t="s">
        <v>436</v>
      </c>
      <c r="X64" s="97"/>
      <c r="Y64" s="102" t="s">
        <v>445</v>
      </c>
      <c r="Z64" s="102" t="s">
        <v>446</v>
      </c>
    </row>
    <row r="65" spans="1:26" s="82" customFormat="1" ht="45" x14ac:dyDescent="0.25">
      <c r="A65" s="82" t="s">
        <v>447</v>
      </c>
      <c r="B65" s="82" t="s">
        <v>448</v>
      </c>
      <c r="C65" s="82" t="str">
        <f t="shared" si="2"/>
        <v>KC-061  - First Rural Free Delivery Route</v>
      </c>
      <c r="D65" s="96" t="s">
        <v>449</v>
      </c>
      <c r="E65" s="96" t="s">
        <v>29</v>
      </c>
      <c r="F65" s="97" t="s">
        <v>30</v>
      </c>
      <c r="G65" s="97"/>
      <c r="H65" s="96" t="s">
        <v>450</v>
      </c>
      <c r="I65" s="99" t="s">
        <v>341</v>
      </c>
      <c r="J65" s="95">
        <v>15</v>
      </c>
      <c r="K65" s="95">
        <v>30</v>
      </c>
      <c r="L65" s="112">
        <v>38.923699999999997</v>
      </c>
      <c r="M65" s="113" t="s">
        <v>451</v>
      </c>
      <c r="N65" s="101" t="s">
        <v>452</v>
      </c>
      <c r="O65" s="82" t="s">
        <v>327</v>
      </c>
      <c r="P65" s="82">
        <v>19952</v>
      </c>
      <c r="Q65" s="82" t="s">
        <v>453</v>
      </c>
      <c r="R65" s="82" t="s">
        <v>37</v>
      </c>
      <c r="T65" s="82" t="s">
        <v>435</v>
      </c>
      <c r="U65" s="97">
        <v>1998</v>
      </c>
      <c r="V65" s="97">
        <v>1998</v>
      </c>
      <c r="W65" s="97" t="s">
        <v>436</v>
      </c>
      <c r="X65" s="97"/>
      <c r="Y65" s="114" t="s">
        <v>454</v>
      </c>
      <c r="Z65" s="114" t="s">
        <v>455</v>
      </c>
    </row>
    <row r="66" spans="1:26" s="82" customFormat="1" ht="45" x14ac:dyDescent="0.25">
      <c r="A66" s="82" t="s">
        <v>456</v>
      </c>
      <c r="B66" s="82" t="s">
        <v>457</v>
      </c>
      <c r="C66" s="82" t="str">
        <f t="shared" si="2"/>
        <v>KC-061A  - Todd's Chapel United Methodist Church</v>
      </c>
      <c r="D66" s="96" t="s">
        <v>458</v>
      </c>
      <c r="E66" s="96" t="s">
        <v>29</v>
      </c>
      <c r="F66" s="97" t="s">
        <v>191</v>
      </c>
      <c r="G66" s="97"/>
      <c r="H66" s="96"/>
      <c r="I66" s="99"/>
      <c r="J66" s="95">
        <v>15</v>
      </c>
      <c r="K66" s="95">
        <v>30</v>
      </c>
      <c r="L66" s="112">
        <v>38.83334</v>
      </c>
      <c r="M66" s="112">
        <v>-75.673659999999998</v>
      </c>
      <c r="N66" s="101" t="s">
        <v>459</v>
      </c>
      <c r="O66" s="82" t="s">
        <v>460</v>
      </c>
      <c r="P66" s="82">
        <v>19950</v>
      </c>
      <c r="R66" s="82" t="s">
        <v>37</v>
      </c>
      <c r="T66" s="82" t="s">
        <v>435</v>
      </c>
      <c r="U66" s="97">
        <v>1998</v>
      </c>
      <c r="V66" s="97">
        <v>1998</v>
      </c>
      <c r="W66" s="97" t="s">
        <v>436</v>
      </c>
      <c r="X66" s="97"/>
      <c r="Y66" s="102" t="s">
        <v>461</v>
      </c>
      <c r="Z66" s="102" t="s">
        <v>462</v>
      </c>
    </row>
    <row r="67" spans="1:26" s="82" customFormat="1" ht="45" x14ac:dyDescent="0.25">
      <c r="A67" s="82" t="s">
        <v>463</v>
      </c>
      <c r="B67" s="82" t="s">
        <v>464</v>
      </c>
      <c r="C67" s="82" t="str">
        <f t="shared" si="2"/>
        <v>KC-062  - Caesar Rodney</v>
      </c>
      <c r="D67" s="96" t="s">
        <v>465</v>
      </c>
      <c r="E67" s="96" t="s">
        <v>29</v>
      </c>
      <c r="F67" s="97" t="s">
        <v>62</v>
      </c>
      <c r="G67" s="97"/>
      <c r="H67" s="96"/>
      <c r="I67" s="99" t="s">
        <v>466</v>
      </c>
      <c r="J67" s="95">
        <v>17</v>
      </c>
      <c r="K67" s="95">
        <v>34</v>
      </c>
      <c r="L67" s="112">
        <v>39.117676000000003</v>
      </c>
      <c r="M67" s="112">
        <v>-75.540695999999997</v>
      </c>
      <c r="N67" s="101" t="s">
        <v>467</v>
      </c>
      <c r="O67" s="82" t="s">
        <v>286</v>
      </c>
      <c r="P67" s="82">
        <v>19934</v>
      </c>
      <c r="R67" s="82" t="s">
        <v>37</v>
      </c>
      <c r="T67" s="82" t="s">
        <v>435</v>
      </c>
      <c r="U67" s="97">
        <v>1999</v>
      </c>
      <c r="V67" s="97">
        <v>1999</v>
      </c>
      <c r="W67" s="97" t="s">
        <v>436</v>
      </c>
      <c r="X67" s="97"/>
      <c r="Y67" s="102" t="s">
        <v>468</v>
      </c>
      <c r="Z67" s="102" t="s">
        <v>469</v>
      </c>
    </row>
    <row r="68" spans="1:26" s="82" customFormat="1" ht="45" x14ac:dyDescent="0.25">
      <c r="A68" s="82" t="s">
        <v>470</v>
      </c>
      <c r="B68" s="82" t="s">
        <v>471</v>
      </c>
      <c r="C68" s="82" t="str">
        <f t="shared" si="2"/>
        <v>KC-063  - Town of Wyoming</v>
      </c>
      <c r="D68" s="96" t="s">
        <v>472</v>
      </c>
      <c r="E68" s="96" t="s">
        <v>29</v>
      </c>
      <c r="F68" s="97" t="s">
        <v>205</v>
      </c>
      <c r="G68" s="97"/>
      <c r="H68" s="96" t="s">
        <v>473</v>
      </c>
      <c r="I68" s="99" t="s">
        <v>466</v>
      </c>
      <c r="J68" s="95">
        <v>17</v>
      </c>
      <c r="K68" s="95">
        <v>34</v>
      </c>
      <c r="L68" s="112">
        <v>39.11853</v>
      </c>
      <c r="M68" s="112">
        <v>-75.558880000000002</v>
      </c>
      <c r="N68" s="101" t="s">
        <v>474</v>
      </c>
      <c r="O68" s="82" t="s">
        <v>475</v>
      </c>
      <c r="P68" s="82">
        <v>19934</v>
      </c>
      <c r="R68" s="82" t="s">
        <v>476</v>
      </c>
      <c r="S68" s="82" t="s">
        <v>477</v>
      </c>
      <c r="T68" s="82" t="s">
        <v>38</v>
      </c>
      <c r="U68" s="97" t="s">
        <v>478</v>
      </c>
      <c r="V68" s="97">
        <v>2000</v>
      </c>
      <c r="W68" s="97" t="s">
        <v>39</v>
      </c>
      <c r="X68" s="97">
        <v>2024</v>
      </c>
      <c r="Y68" s="102" t="s">
        <v>479</v>
      </c>
      <c r="Z68" s="102" t="s">
        <v>480</v>
      </c>
    </row>
    <row r="69" spans="1:26" s="82" customFormat="1" ht="45" x14ac:dyDescent="0.25">
      <c r="A69" s="82" t="s">
        <v>481</v>
      </c>
      <c r="B69" s="82" t="s">
        <v>482</v>
      </c>
      <c r="C69" s="82" t="str">
        <f t="shared" si="2"/>
        <v>KC-064  - Bethel Methodist Church (Andrewsville)</v>
      </c>
      <c r="D69" s="96" t="s">
        <v>483</v>
      </c>
      <c r="E69" s="96" t="s">
        <v>29</v>
      </c>
      <c r="F69" s="97" t="s">
        <v>191</v>
      </c>
      <c r="G69" s="97"/>
      <c r="H69" s="96" t="s">
        <v>484</v>
      </c>
      <c r="I69" s="99" t="s">
        <v>301</v>
      </c>
      <c r="J69" s="95">
        <v>15</v>
      </c>
      <c r="K69" s="95">
        <v>30</v>
      </c>
      <c r="L69" s="112">
        <v>38.861939999999997</v>
      </c>
      <c r="M69" s="112">
        <v>-75.63682</v>
      </c>
      <c r="N69" s="101" t="s">
        <v>485</v>
      </c>
      <c r="O69" s="82" t="s">
        <v>327</v>
      </c>
      <c r="P69" s="82">
        <v>19952</v>
      </c>
      <c r="Q69" s="82" t="s">
        <v>486</v>
      </c>
      <c r="R69" s="82" t="s">
        <v>487</v>
      </c>
      <c r="T69" s="82" t="s">
        <v>435</v>
      </c>
      <c r="U69" s="97">
        <v>2000</v>
      </c>
      <c r="V69" s="97">
        <v>2000</v>
      </c>
      <c r="W69" s="97" t="s">
        <v>436</v>
      </c>
      <c r="X69" s="97"/>
      <c r="Y69" s="114" t="s">
        <v>488</v>
      </c>
      <c r="Z69" s="114" t="s">
        <v>489</v>
      </c>
    </row>
    <row r="70" spans="1:26" s="82" customFormat="1" ht="57.6" customHeight="1" x14ac:dyDescent="0.25">
      <c r="A70" s="82" t="s">
        <v>490</v>
      </c>
      <c r="B70" s="82" t="s">
        <v>491</v>
      </c>
      <c r="C70" s="82" t="str">
        <f t="shared" si="2"/>
        <v>KC-065  - Site of Milford's First Methodist Church</v>
      </c>
      <c r="D70" s="96" t="s">
        <v>492</v>
      </c>
      <c r="E70" s="96" t="s">
        <v>29</v>
      </c>
      <c r="F70" s="97" t="s">
        <v>191</v>
      </c>
      <c r="G70" s="97"/>
      <c r="H70" s="96" t="s">
        <v>493</v>
      </c>
      <c r="I70" s="99" t="s">
        <v>494</v>
      </c>
      <c r="J70" s="95">
        <v>18</v>
      </c>
      <c r="K70" s="95">
        <v>33</v>
      </c>
      <c r="L70" s="113" t="s">
        <v>495</v>
      </c>
      <c r="M70" s="112">
        <v>-75.430160000000001</v>
      </c>
      <c r="N70" s="101" t="s">
        <v>496</v>
      </c>
      <c r="O70" s="82" t="s">
        <v>208</v>
      </c>
      <c r="P70" s="82">
        <v>19963</v>
      </c>
      <c r="R70" s="82" t="s">
        <v>37</v>
      </c>
      <c r="T70" s="82" t="s">
        <v>435</v>
      </c>
      <c r="U70" s="97">
        <v>2000</v>
      </c>
      <c r="V70" s="97">
        <v>2000</v>
      </c>
      <c r="W70" s="97" t="s">
        <v>436</v>
      </c>
      <c r="X70" s="97"/>
      <c r="Y70" s="131" t="s">
        <v>497</v>
      </c>
      <c r="Z70" s="102" t="s">
        <v>498</v>
      </c>
    </row>
    <row r="71" spans="1:26" s="82" customFormat="1" ht="45" x14ac:dyDescent="0.25">
      <c r="A71" s="82" t="s">
        <v>499</v>
      </c>
      <c r="B71" s="82" t="s">
        <v>500</v>
      </c>
      <c r="C71" s="82" t="str">
        <f t="shared" si="2"/>
        <v>KC-066  - Town of Kenton</v>
      </c>
      <c r="D71" s="96" t="s">
        <v>501</v>
      </c>
      <c r="E71" s="96" t="s">
        <v>29</v>
      </c>
      <c r="F71" s="97" t="s">
        <v>205</v>
      </c>
      <c r="G71" s="97"/>
      <c r="H71" s="96" t="s">
        <v>502</v>
      </c>
      <c r="I71" s="99" t="s">
        <v>301</v>
      </c>
      <c r="J71" s="95">
        <v>15</v>
      </c>
      <c r="K71" s="95">
        <v>11</v>
      </c>
      <c r="L71" s="112">
        <v>39.225250000000003</v>
      </c>
      <c r="M71" s="112">
        <v>-75.668099999999995</v>
      </c>
      <c r="N71" s="101" t="s">
        <v>503</v>
      </c>
      <c r="O71" s="82" t="s">
        <v>504</v>
      </c>
      <c r="P71" s="82">
        <v>19955</v>
      </c>
      <c r="R71" s="82" t="s">
        <v>37</v>
      </c>
      <c r="S71" s="82" t="s">
        <v>505</v>
      </c>
      <c r="T71" s="82" t="s">
        <v>435</v>
      </c>
      <c r="U71" s="97">
        <v>2000</v>
      </c>
      <c r="V71" s="97">
        <v>2000</v>
      </c>
      <c r="W71" s="97" t="s">
        <v>436</v>
      </c>
      <c r="X71" s="97">
        <v>2021</v>
      </c>
      <c r="Y71" s="102" t="s">
        <v>506</v>
      </c>
      <c r="Z71" s="102" t="s">
        <v>507</v>
      </c>
    </row>
    <row r="72" spans="1:26" s="82" customFormat="1" ht="57" x14ac:dyDescent="0.25">
      <c r="A72" s="82" t="s">
        <v>508</v>
      </c>
      <c r="B72" s="82" t="s">
        <v>509</v>
      </c>
      <c r="C72" s="82" t="str">
        <f t="shared" si="2"/>
        <v>KC-067  - First in the World Post #14 American Legion Ambulance Service</v>
      </c>
      <c r="D72" s="96" t="s">
        <v>510</v>
      </c>
      <c r="E72" s="96" t="s">
        <v>29</v>
      </c>
      <c r="F72" s="97" t="s">
        <v>30</v>
      </c>
      <c r="G72" s="97"/>
      <c r="H72" s="96"/>
      <c r="I72" s="99" t="s">
        <v>511</v>
      </c>
      <c r="J72" s="95">
        <v>14</v>
      </c>
      <c r="K72" s="95">
        <v>28</v>
      </c>
      <c r="L72" s="100" t="s">
        <v>512</v>
      </c>
      <c r="M72" s="100" t="s">
        <v>513</v>
      </c>
      <c r="N72" s="101" t="s">
        <v>514</v>
      </c>
      <c r="O72" s="82" t="s">
        <v>54</v>
      </c>
      <c r="P72" s="82">
        <v>19977</v>
      </c>
      <c r="R72" s="82" t="s">
        <v>37</v>
      </c>
      <c r="S72" s="82" t="s">
        <v>515</v>
      </c>
      <c r="T72" s="82" t="s">
        <v>38</v>
      </c>
      <c r="U72" s="97" t="s">
        <v>516</v>
      </c>
      <c r="V72" s="97">
        <v>2001</v>
      </c>
      <c r="W72" s="97" t="s">
        <v>39</v>
      </c>
      <c r="X72" s="97">
        <v>2020</v>
      </c>
      <c r="Y72" s="114" t="s">
        <v>517</v>
      </c>
      <c r="Z72" s="102" t="s">
        <v>518</v>
      </c>
    </row>
    <row r="73" spans="1:26" s="82" customFormat="1" ht="45" x14ac:dyDescent="0.25">
      <c r="A73" s="82" t="s">
        <v>519</v>
      </c>
      <c r="B73" s="82" t="s">
        <v>520</v>
      </c>
      <c r="C73" s="82" t="str">
        <f t="shared" si="2"/>
        <v>KC-068  - Hangar 1301</v>
      </c>
      <c r="D73" s="96" t="s">
        <v>521</v>
      </c>
      <c r="E73" s="96" t="s">
        <v>29</v>
      </c>
      <c r="F73" s="97" t="s">
        <v>30</v>
      </c>
      <c r="G73" s="97"/>
      <c r="H73" s="96" t="s">
        <v>522</v>
      </c>
      <c r="I73" s="99" t="s">
        <v>27</v>
      </c>
      <c r="J73" s="95">
        <v>16</v>
      </c>
      <c r="K73" s="95">
        <v>32</v>
      </c>
      <c r="L73" s="112">
        <v>39.119079999999997</v>
      </c>
      <c r="M73" s="112">
        <v>-75.456869999999995</v>
      </c>
      <c r="N73" s="101" t="s">
        <v>523</v>
      </c>
      <c r="O73" s="82" t="s">
        <v>35</v>
      </c>
      <c r="P73" s="82">
        <v>19902</v>
      </c>
      <c r="Q73" s="82" t="s">
        <v>524</v>
      </c>
      <c r="R73" s="82" t="s">
        <v>37</v>
      </c>
      <c r="T73" s="82" t="s">
        <v>435</v>
      </c>
      <c r="U73" s="97">
        <v>2002</v>
      </c>
      <c r="V73" s="97">
        <v>2002</v>
      </c>
      <c r="W73" s="97" t="s">
        <v>436</v>
      </c>
      <c r="X73" s="97"/>
      <c r="Y73" s="102" t="s">
        <v>525</v>
      </c>
      <c r="Z73" s="102" t="s">
        <v>526</v>
      </c>
    </row>
    <row r="74" spans="1:26" s="82" customFormat="1" ht="51" x14ac:dyDescent="0.25">
      <c r="A74" s="82" t="s">
        <v>527</v>
      </c>
      <c r="B74" s="82" t="s">
        <v>528</v>
      </c>
      <c r="C74" s="82" t="str">
        <f t="shared" si="2"/>
        <v>KC-069  - Mason-Dixon Crownstone</v>
      </c>
      <c r="D74" s="96" t="s">
        <v>529</v>
      </c>
      <c r="E74" s="96" t="s">
        <v>29</v>
      </c>
      <c r="F74" s="97" t="s">
        <v>409</v>
      </c>
      <c r="G74" s="97"/>
      <c r="H74" s="96" t="s">
        <v>530</v>
      </c>
      <c r="I74" s="99" t="s">
        <v>531</v>
      </c>
      <c r="J74" s="95">
        <v>15</v>
      </c>
      <c r="K74" s="95">
        <v>11</v>
      </c>
      <c r="L74" s="100" t="s">
        <v>532</v>
      </c>
      <c r="M74" s="100" t="s">
        <v>533</v>
      </c>
      <c r="N74" s="101" t="s">
        <v>534</v>
      </c>
      <c r="O74" s="82" t="s">
        <v>133</v>
      </c>
      <c r="P74" s="82">
        <v>19964</v>
      </c>
      <c r="R74" s="82" t="s">
        <v>37</v>
      </c>
      <c r="T74" s="82" t="s">
        <v>38</v>
      </c>
      <c r="U74" s="97" t="s">
        <v>535</v>
      </c>
      <c r="V74" s="98">
        <v>38199</v>
      </c>
      <c r="W74" s="97" t="s">
        <v>39</v>
      </c>
      <c r="X74" s="97">
        <v>2004</v>
      </c>
      <c r="Y74" s="102" t="s">
        <v>536</v>
      </c>
      <c r="Z74" s="102" t="s">
        <v>537</v>
      </c>
    </row>
    <row r="75" spans="1:26" s="82" customFormat="1" ht="45" x14ac:dyDescent="0.25">
      <c r="A75" s="82" t="s">
        <v>538</v>
      </c>
      <c r="B75" s="82" t="s">
        <v>539</v>
      </c>
      <c r="C75" s="82" t="str">
        <f t="shared" si="2"/>
        <v>KC-070  - Site of Dover's First Methodist Church</v>
      </c>
      <c r="D75" s="115" t="s">
        <v>540</v>
      </c>
      <c r="E75" s="96" t="s">
        <v>29</v>
      </c>
      <c r="F75" s="97" t="s">
        <v>191</v>
      </c>
      <c r="G75" s="97"/>
      <c r="H75" s="96" t="s">
        <v>541</v>
      </c>
      <c r="I75" s="99" t="s">
        <v>27</v>
      </c>
      <c r="J75" s="95">
        <v>17</v>
      </c>
      <c r="K75" s="95">
        <v>31</v>
      </c>
      <c r="L75" s="100" t="s">
        <v>542</v>
      </c>
      <c r="M75" s="100" t="s">
        <v>543</v>
      </c>
      <c r="N75" s="101" t="s">
        <v>544</v>
      </c>
      <c r="O75" s="82" t="s">
        <v>35</v>
      </c>
      <c r="P75" s="82">
        <v>19904</v>
      </c>
      <c r="R75" s="82" t="s">
        <v>37</v>
      </c>
      <c r="T75" s="82" t="s">
        <v>38</v>
      </c>
      <c r="U75" s="97">
        <v>2001</v>
      </c>
      <c r="V75" s="97">
        <v>2001</v>
      </c>
      <c r="W75" s="97" t="s">
        <v>39</v>
      </c>
      <c r="X75" s="97"/>
      <c r="Y75" s="102" t="s">
        <v>545</v>
      </c>
      <c r="Z75" s="102" t="s">
        <v>546</v>
      </c>
    </row>
    <row r="76" spans="1:26" s="82" customFormat="1" ht="45" x14ac:dyDescent="0.25">
      <c r="A76" s="82" t="s">
        <v>547</v>
      </c>
      <c r="B76" s="82" t="s">
        <v>548</v>
      </c>
      <c r="C76" s="82" t="str">
        <f t="shared" si="2"/>
        <v>KC-071  - Wesley College</v>
      </c>
      <c r="D76" s="96" t="s">
        <v>549</v>
      </c>
      <c r="E76" s="96" t="s">
        <v>29</v>
      </c>
      <c r="F76" s="97" t="s">
        <v>276</v>
      </c>
      <c r="G76" s="97"/>
      <c r="H76" s="115" t="s">
        <v>550</v>
      </c>
      <c r="I76" s="99" t="s">
        <v>551</v>
      </c>
      <c r="J76" s="95">
        <v>17</v>
      </c>
      <c r="K76" s="95">
        <v>31</v>
      </c>
      <c r="L76" s="112">
        <v>39.163139999999999</v>
      </c>
      <c r="M76" s="112">
        <v>-75.526380000000003</v>
      </c>
      <c r="N76" s="101" t="s">
        <v>552</v>
      </c>
      <c r="O76" s="82" t="s">
        <v>35</v>
      </c>
      <c r="P76" s="82">
        <v>19901</v>
      </c>
      <c r="R76" s="82" t="s">
        <v>37</v>
      </c>
      <c r="S76" s="102"/>
      <c r="T76" s="82" t="s">
        <v>38</v>
      </c>
      <c r="U76" s="97">
        <v>2001</v>
      </c>
      <c r="V76" s="97">
        <v>2001</v>
      </c>
      <c r="W76" s="97" t="s">
        <v>39</v>
      </c>
      <c r="X76" s="97">
        <v>2013</v>
      </c>
      <c r="Y76" s="114" t="s">
        <v>553</v>
      </c>
      <c r="Z76" s="114" t="s">
        <v>554</v>
      </c>
    </row>
    <row r="77" spans="1:26" s="82" customFormat="1" ht="45" x14ac:dyDescent="0.25">
      <c r="A77" s="82" t="s">
        <v>555</v>
      </c>
      <c r="B77" s="82" t="s">
        <v>286</v>
      </c>
      <c r="C77" s="82" t="str">
        <f t="shared" si="2"/>
        <v>KC-072  - Camden</v>
      </c>
      <c r="D77" s="96" t="s">
        <v>556</v>
      </c>
      <c r="E77" s="96" t="s">
        <v>29</v>
      </c>
      <c r="F77" s="97" t="s">
        <v>205</v>
      </c>
      <c r="G77" s="97"/>
      <c r="H77" s="96" t="s">
        <v>557</v>
      </c>
      <c r="I77" s="99" t="s">
        <v>558</v>
      </c>
      <c r="J77" s="95">
        <v>17</v>
      </c>
      <c r="K77" s="95">
        <v>34</v>
      </c>
      <c r="L77" s="112">
        <v>39.113619999999997</v>
      </c>
      <c r="M77" s="112">
        <v>-75.542370000000005</v>
      </c>
      <c r="N77" s="101" t="s">
        <v>559</v>
      </c>
      <c r="O77" s="82" t="s">
        <v>286</v>
      </c>
      <c r="P77" s="82">
        <v>19934</v>
      </c>
      <c r="R77" s="82" t="s">
        <v>37</v>
      </c>
      <c r="T77" s="82" t="s">
        <v>435</v>
      </c>
      <c r="U77" s="97">
        <v>2001</v>
      </c>
      <c r="V77" s="97">
        <v>2001</v>
      </c>
      <c r="W77" s="97" t="s">
        <v>436</v>
      </c>
      <c r="X77" s="97"/>
      <c r="Y77" s="102" t="s">
        <v>560</v>
      </c>
      <c r="Z77" s="102" t="s">
        <v>561</v>
      </c>
    </row>
    <row r="78" spans="1:26" s="82" customFormat="1" ht="45" x14ac:dyDescent="0.25">
      <c r="A78" s="82" t="s">
        <v>562</v>
      </c>
      <c r="B78" s="82" t="s">
        <v>563</v>
      </c>
      <c r="C78" s="82" t="str">
        <f t="shared" si="2"/>
        <v>KC-073  - Camden Friends Meeting (Burial Place of John Hunn)</v>
      </c>
      <c r="D78" s="96" t="s">
        <v>564</v>
      </c>
      <c r="E78" s="96" t="s">
        <v>29</v>
      </c>
      <c r="F78" s="97" t="s">
        <v>191</v>
      </c>
      <c r="G78" s="97"/>
      <c r="H78" s="96" t="s">
        <v>565</v>
      </c>
      <c r="I78" s="99" t="s">
        <v>566</v>
      </c>
      <c r="J78" s="95">
        <v>17</v>
      </c>
      <c r="K78" s="95">
        <v>34</v>
      </c>
      <c r="L78" s="100" t="s">
        <v>567</v>
      </c>
      <c r="M78" s="100" t="s">
        <v>568</v>
      </c>
      <c r="N78" s="101" t="s">
        <v>569</v>
      </c>
      <c r="O78" s="82" t="s">
        <v>286</v>
      </c>
      <c r="P78" s="82">
        <v>19934</v>
      </c>
      <c r="R78" s="82" t="s">
        <v>37</v>
      </c>
      <c r="T78" s="82" t="s">
        <v>435</v>
      </c>
      <c r="U78" s="97">
        <v>2002</v>
      </c>
      <c r="V78" s="97">
        <v>2002</v>
      </c>
      <c r="W78" s="97" t="s">
        <v>436</v>
      </c>
      <c r="X78" s="97"/>
      <c r="Y78" s="131" t="s">
        <v>570</v>
      </c>
      <c r="Z78" s="102" t="s">
        <v>571</v>
      </c>
    </row>
    <row r="79" spans="1:26" s="82" customFormat="1" ht="45" x14ac:dyDescent="0.25">
      <c r="A79" s="82" t="s">
        <v>572</v>
      </c>
      <c r="B79" s="82" t="s">
        <v>573</v>
      </c>
      <c r="C79" s="82" t="str">
        <f t="shared" si="2"/>
        <v>KC-074  - Site of Blackiston Methodist Church</v>
      </c>
      <c r="D79" s="115" t="s">
        <v>574</v>
      </c>
      <c r="E79" s="96" t="s">
        <v>29</v>
      </c>
      <c r="F79" s="97" t="s">
        <v>191</v>
      </c>
      <c r="G79" s="97"/>
      <c r="H79" s="96" t="s">
        <v>565</v>
      </c>
      <c r="I79" s="99" t="s">
        <v>301</v>
      </c>
      <c r="J79" s="95">
        <v>15</v>
      </c>
      <c r="K79" s="95">
        <v>11</v>
      </c>
      <c r="L79" s="100" t="s">
        <v>575</v>
      </c>
      <c r="M79" s="100" t="s">
        <v>576</v>
      </c>
      <c r="N79" s="101" t="s">
        <v>577</v>
      </c>
      <c r="O79" s="82" t="s">
        <v>101</v>
      </c>
      <c r="P79" s="82">
        <v>19938</v>
      </c>
      <c r="R79" s="82" t="s">
        <v>37</v>
      </c>
      <c r="T79" s="82" t="s">
        <v>38</v>
      </c>
      <c r="U79" s="97">
        <v>2002</v>
      </c>
      <c r="V79" s="97">
        <v>2002</v>
      </c>
      <c r="W79" s="97" t="s">
        <v>39</v>
      </c>
      <c r="X79" s="97">
        <v>2019</v>
      </c>
      <c r="Y79" s="102" t="s">
        <v>578</v>
      </c>
      <c r="Z79" s="102" t="s">
        <v>579</v>
      </c>
    </row>
    <row r="80" spans="1:26" s="82" customFormat="1" ht="45" x14ac:dyDescent="0.25">
      <c r="A80" s="82" t="s">
        <v>580</v>
      </c>
      <c r="B80" s="82" t="s">
        <v>5345</v>
      </c>
      <c r="C80" s="82" t="str">
        <f t="shared" si="2"/>
        <v>KC-075  - William W.M. Henry Comprehensive High School</v>
      </c>
      <c r="D80" s="96" t="s">
        <v>581</v>
      </c>
      <c r="E80" s="96" t="s">
        <v>29</v>
      </c>
      <c r="F80" s="97" t="s">
        <v>276</v>
      </c>
      <c r="G80" s="97" t="s">
        <v>293</v>
      </c>
      <c r="H80" s="96"/>
      <c r="I80" s="99" t="s">
        <v>582</v>
      </c>
      <c r="J80" s="95">
        <v>17</v>
      </c>
      <c r="K80" s="95">
        <v>31</v>
      </c>
      <c r="L80" s="112">
        <v>39.159813</v>
      </c>
      <c r="M80" s="112">
        <v>-75.541390000000007</v>
      </c>
      <c r="N80" s="101" t="s">
        <v>583</v>
      </c>
      <c r="O80" s="82" t="s">
        <v>35</v>
      </c>
      <c r="P80" s="82">
        <v>19904</v>
      </c>
      <c r="R80" s="82" t="s">
        <v>37</v>
      </c>
      <c r="T80" s="82" t="s">
        <v>38</v>
      </c>
      <c r="U80" s="97">
        <v>2003</v>
      </c>
      <c r="V80" s="97">
        <v>2003</v>
      </c>
      <c r="W80" s="97" t="s">
        <v>39</v>
      </c>
      <c r="X80" s="97">
        <v>2016</v>
      </c>
      <c r="Y80" s="102" t="s">
        <v>584</v>
      </c>
      <c r="Z80" s="102" t="s">
        <v>585</v>
      </c>
    </row>
    <row r="81" spans="1:26" s="82" customFormat="1" ht="51" x14ac:dyDescent="0.25">
      <c r="A81" s="82" t="s">
        <v>586</v>
      </c>
      <c r="B81" s="82" t="s">
        <v>587</v>
      </c>
      <c r="C81" s="82" t="str">
        <f t="shared" si="2"/>
        <v>KC-076  - Golden Fleece Tavern</v>
      </c>
      <c r="D81" s="96" t="s">
        <v>588</v>
      </c>
      <c r="E81" s="96" t="s">
        <v>29</v>
      </c>
      <c r="F81" s="97" t="s">
        <v>30</v>
      </c>
      <c r="G81" s="97"/>
      <c r="H81" s="96" t="s">
        <v>589</v>
      </c>
      <c r="I81" s="99" t="s">
        <v>590</v>
      </c>
      <c r="J81" s="95">
        <v>17</v>
      </c>
      <c r="K81" s="95">
        <v>12</v>
      </c>
      <c r="L81" s="112">
        <v>39.156350000000003</v>
      </c>
      <c r="M81" s="112">
        <v>-75.523880000000005</v>
      </c>
      <c r="N81" s="101" t="s">
        <v>591</v>
      </c>
      <c r="O81" s="82" t="s">
        <v>35</v>
      </c>
      <c r="P81" s="82">
        <v>19901</v>
      </c>
      <c r="Q81" s="82" t="s">
        <v>587</v>
      </c>
      <c r="R81" s="82" t="s">
        <v>37</v>
      </c>
      <c r="T81" s="82" t="s">
        <v>592</v>
      </c>
      <c r="U81" s="97">
        <v>2002</v>
      </c>
      <c r="V81" s="97">
        <v>2002</v>
      </c>
      <c r="W81" s="97" t="s">
        <v>593</v>
      </c>
      <c r="X81" s="97"/>
      <c r="Y81" s="114" t="s">
        <v>594</v>
      </c>
      <c r="Z81" s="114" t="s">
        <v>595</v>
      </c>
    </row>
    <row r="82" spans="1:26" s="122" customFormat="1" ht="45" x14ac:dyDescent="0.25">
      <c r="A82" s="122" t="s">
        <v>596</v>
      </c>
      <c r="B82" s="122" t="s">
        <v>597</v>
      </c>
      <c r="C82" s="122" t="str">
        <f t="shared" si="2"/>
        <v>KC-077  - Smyrna Opera House and Old Town Hall</v>
      </c>
      <c r="D82" s="124" t="s">
        <v>598</v>
      </c>
      <c r="E82" s="124" t="s">
        <v>130</v>
      </c>
      <c r="F82" s="125" t="s">
        <v>30</v>
      </c>
      <c r="G82" s="125"/>
      <c r="H82" s="124" t="s">
        <v>599</v>
      </c>
      <c r="I82" s="126" t="s">
        <v>301</v>
      </c>
      <c r="J82" s="123">
        <v>14</v>
      </c>
      <c r="K82" s="123">
        <v>28</v>
      </c>
      <c r="L82" s="127">
        <v>39.299680000000002</v>
      </c>
      <c r="M82" s="127">
        <v>-75.604770000000002</v>
      </c>
      <c r="N82" s="128" t="s">
        <v>600</v>
      </c>
      <c r="O82" s="122" t="s">
        <v>54</v>
      </c>
      <c r="P82" s="122">
        <v>19977</v>
      </c>
      <c r="R82" s="122" t="s">
        <v>37</v>
      </c>
      <c r="S82" s="122" t="s">
        <v>601</v>
      </c>
      <c r="T82" s="122" t="s">
        <v>435</v>
      </c>
      <c r="U82" s="125">
        <v>2003</v>
      </c>
      <c r="V82" s="125">
        <v>2003</v>
      </c>
      <c r="W82" s="125" t="s">
        <v>593</v>
      </c>
      <c r="X82" s="125"/>
      <c r="Y82" s="131" t="s">
        <v>602</v>
      </c>
      <c r="Z82" s="129" t="s">
        <v>603</v>
      </c>
    </row>
    <row r="83" spans="1:26" s="122" customFormat="1" ht="51" x14ac:dyDescent="0.25">
      <c r="A83" s="122" t="s">
        <v>604</v>
      </c>
      <c r="B83" s="122" t="s">
        <v>605</v>
      </c>
      <c r="C83" s="122" t="str">
        <f t="shared" si="2"/>
        <v>KC-078  - Sgt. John B. Maberry</v>
      </c>
      <c r="D83" s="124" t="s">
        <v>606</v>
      </c>
      <c r="E83" s="124" t="s">
        <v>29</v>
      </c>
      <c r="F83" s="125" t="s">
        <v>62</v>
      </c>
      <c r="G83" s="125"/>
      <c r="H83" s="124" t="s">
        <v>392</v>
      </c>
      <c r="I83" s="126" t="s">
        <v>401</v>
      </c>
      <c r="J83" s="123">
        <v>14</v>
      </c>
      <c r="K83" s="123">
        <v>28</v>
      </c>
      <c r="L83" s="127">
        <v>39.302970000000002</v>
      </c>
      <c r="M83" s="127">
        <v>-75.612099999999998</v>
      </c>
      <c r="N83" s="128" t="s">
        <v>607</v>
      </c>
      <c r="O83" s="122" t="s">
        <v>54</v>
      </c>
      <c r="P83" s="122">
        <v>19977</v>
      </c>
      <c r="R83" s="122" t="s">
        <v>37</v>
      </c>
      <c r="T83" s="122" t="s">
        <v>435</v>
      </c>
      <c r="U83" s="125">
        <v>2003</v>
      </c>
      <c r="V83" s="130">
        <v>44670</v>
      </c>
      <c r="W83" s="125" t="s">
        <v>593</v>
      </c>
      <c r="X83" s="125"/>
      <c r="Y83" s="129" t="s">
        <v>608</v>
      </c>
      <c r="Z83" s="129" t="s">
        <v>609</v>
      </c>
    </row>
    <row r="84" spans="1:26" s="82" customFormat="1" ht="45" x14ac:dyDescent="0.25">
      <c r="A84" s="82" t="s">
        <v>610</v>
      </c>
      <c r="B84" s="82" t="s">
        <v>611</v>
      </c>
      <c r="C84" s="82" t="str">
        <f t="shared" si="2"/>
        <v>KC-079  - Wesley United Methodist Church</v>
      </c>
      <c r="D84" s="96" t="s">
        <v>612</v>
      </c>
      <c r="E84" s="96" t="s">
        <v>130</v>
      </c>
      <c r="F84" s="97" t="s">
        <v>191</v>
      </c>
      <c r="G84" s="97"/>
      <c r="H84" s="96" t="s">
        <v>613</v>
      </c>
      <c r="I84" s="99"/>
      <c r="J84" s="95">
        <v>17</v>
      </c>
      <c r="K84" s="95">
        <v>32</v>
      </c>
      <c r="L84" s="112">
        <v>39.157760000000003</v>
      </c>
      <c r="M84" s="112">
        <v>-75.524169999999998</v>
      </c>
      <c r="N84" s="101" t="s">
        <v>614</v>
      </c>
      <c r="O84" s="82" t="s">
        <v>35</v>
      </c>
      <c r="P84" s="82">
        <v>19901</v>
      </c>
      <c r="R84" s="82" t="s">
        <v>37</v>
      </c>
      <c r="T84" s="82" t="s">
        <v>435</v>
      </c>
      <c r="U84" s="97">
        <v>2003</v>
      </c>
      <c r="V84" s="97">
        <v>2003</v>
      </c>
      <c r="W84" s="97" t="s">
        <v>593</v>
      </c>
      <c r="X84" s="97"/>
      <c r="Y84" s="102" t="s">
        <v>615</v>
      </c>
      <c r="Z84" s="102" t="s">
        <v>616</v>
      </c>
    </row>
    <row r="85" spans="1:26" s="82" customFormat="1" ht="45" x14ac:dyDescent="0.25">
      <c r="A85" s="82" t="s">
        <v>617</v>
      </c>
      <c r="B85" s="82" t="s">
        <v>618</v>
      </c>
      <c r="C85" s="82" t="str">
        <f t="shared" si="2"/>
        <v>KC-080  - Kitts Hummock</v>
      </c>
      <c r="D85" s="96" t="s">
        <v>619</v>
      </c>
      <c r="E85" s="96" t="s">
        <v>29</v>
      </c>
      <c r="F85" s="97" t="s">
        <v>205</v>
      </c>
      <c r="G85" s="97"/>
      <c r="H85" s="96" t="s">
        <v>620</v>
      </c>
      <c r="I85" s="160" t="s">
        <v>621</v>
      </c>
      <c r="J85" s="161">
        <v>16</v>
      </c>
      <c r="K85" s="95">
        <v>32</v>
      </c>
      <c r="L85" s="112">
        <v>39.102649999999997</v>
      </c>
      <c r="M85" s="112">
        <v>-75.40231</v>
      </c>
      <c r="N85" s="101" t="s">
        <v>622</v>
      </c>
      <c r="O85" s="82" t="s">
        <v>35</v>
      </c>
      <c r="P85" s="82">
        <v>19901</v>
      </c>
      <c r="R85" s="82" t="s">
        <v>37</v>
      </c>
      <c r="T85" s="82" t="s">
        <v>38</v>
      </c>
      <c r="U85" s="97">
        <v>2003</v>
      </c>
      <c r="V85" s="98">
        <v>37779</v>
      </c>
      <c r="W85" s="97" t="s">
        <v>39</v>
      </c>
      <c r="X85" s="97"/>
      <c r="Y85" s="102" t="s">
        <v>623</v>
      </c>
      <c r="Z85" s="102" t="s">
        <v>624</v>
      </c>
    </row>
    <row r="86" spans="1:26" s="82" customFormat="1" ht="45" x14ac:dyDescent="0.25">
      <c r="A86" s="82" t="s">
        <v>625</v>
      </c>
      <c r="B86" s="82" t="s">
        <v>626</v>
      </c>
      <c r="C86" s="82" t="str">
        <f t="shared" si="2"/>
        <v>KC-081  - Site of Duck Creek Presbyterian Church</v>
      </c>
      <c r="D86" s="115" t="s">
        <v>627</v>
      </c>
      <c r="E86" s="96" t="s">
        <v>29</v>
      </c>
      <c r="F86" s="97" t="s">
        <v>191</v>
      </c>
      <c r="G86" s="97"/>
      <c r="H86" s="96" t="s">
        <v>628</v>
      </c>
      <c r="I86" s="99" t="s">
        <v>401</v>
      </c>
      <c r="J86" s="95">
        <v>14</v>
      </c>
      <c r="K86" s="95">
        <v>28</v>
      </c>
      <c r="L86" s="112">
        <v>39.295960000000001</v>
      </c>
      <c r="M86" s="112">
        <v>-75.599429999999998</v>
      </c>
      <c r="N86" s="101" t="s">
        <v>629</v>
      </c>
      <c r="O86" s="82" t="s">
        <v>54</v>
      </c>
      <c r="P86" s="82">
        <v>19977</v>
      </c>
      <c r="R86" s="82" t="s">
        <v>37</v>
      </c>
      <c r="T86" s="82" t="s">
        <v>38</v>
      </c>
      <c r="U86" s="97">
        <v>2003</v>
      </c>
      <c r="V86" s="97">
        <v>2003</v>
      </c>
      <c r="W86" s="97" t="s">
        <v>39</v>
      </c>
      <c r="X86" s="97"/>
      <c r="Y86" s="102" t="s">
        <v>630</v>
      </c>
      <c r="Z86" s="102" t="s">
        <v>631</v>
      </c>
    </row>
    <row r="87" spans="1:26" s="122" customFormat="1" ht="45" x14ac:dyDescent="0.25">
      <c r="A87" s="122" t="s">
        <v>632</v>
      </c>
      <c r="B87" s="122" t="s">
        <v>633</v>
      </c>
      <c r="C87" s="122" t="str">
        <f t="shared" si="2"/>
        <v>KC-082  - Morning Star Institutional Church of God in Christ, Inc.</v>
      </c>
      <c r="D87" s="124" t="s">
        <v>634</v>
      </c>
      <c r="E87" s="124" t="s">
        <v>29</v>
      </c>
      <c r="F87" s="125" t="s">
        <v>191</v>
      </c>
      <c r="G87" s="125"/>
      <c r="H87" s="124" t="s">
        <v>635</v>
      </c>
      <c r="I87" s="126" t="s">
        <v>301</v>
      </c>
      <c r="J87" s="123">
        <v>17</v>
      </c>
      <c r="K87" s="123">
        <v>34</v>
      </c>
      <c r="L87" s="127">
        <v>39.113700000000001</v>
      </c>
      <c r="M87" s="127">
        <v>-75.542829999999995</v>
      </c>
      <c r="N87" s="128" t="s">
        <v>636</v>
      </c>
      <c r="O87" s="122" t="s">
        <v>286</v>
      </c>
      <c r="P87" s="122">
        <v>19934</v>
      </c>
      <c r="R87" s="122" t="s">
        <v>37</v>
      </c>
      <c r="S87" s="122" t="s">
        <v>601</v>
      </c>
      <c r="T87" s="122" t="s">
        <v>435</v>
      </c>
      <c r="U87" s="125">
        <v>2003</v>
      </c>
      <c r="V87" s="125">
        <v>2003</v>
      </c>
      <c r="W87" s="125" t="s">
        <v>593</v>
      </c>
      <c r="X87" s="125"/>
      <c r="Y87" s="132" t="s">
        <v>637</v>
      </c>
      <c r="Z87" s="129" t="s">
        <v>638</v>
      </c>
    </row>
    <row r="88" spans="1:26" s="122" customFormat="1" ht="45" x14ac:dyDescent="0.25">
      <c r="A88" s="122" t="s">
        <v>639</v>
      </c>
      <c r="B88" s="122" t="s">
        <v>640</v>
      </c>
      <c r="C88" s="122" t="str">
        <f t="shared" si="2"/>
        <v>KC-083  - Cheswold Volunteer Fire Company</v>
      </c>
      <c r="D88" s="124" t="s">
        <v>641</v>
      </c>
      <c r="E88" s="124" t="s">
        <v>29</v>
      </c>
      <c r="F88" s="125" t="s">
        <v>30</v>
      </c>
      <c r="G88" s="125"/>
      <c r="H88" s="124" t="s">
        <v>642</v>
      </c>
      <c r="I88" s="126" t="s">
        <v>643</v>
      </c>
      <c r="J88" s="123">
        <v>14</v>
      </c>
      <c r="K88" s="123">
        <v>29</v>
      </c>
      <c r="L88" s="127">
        <v>39.220730000000003</v>
      </c>
      <c r="M88" s="127">
        <v>-75.584090000000003</v>
      </c>
      <c r="N88" s="128" t="s">
        <v>644</v>
      </c>
      <c r="O88" s="122" t="s">
        <v>86</v>
      </c>
      <c r="P88" s="122">
        <v>19936</v>
      </c>
      <c r="R88" s="122" t="s">
        <v>37</v>
      </c>
      <c r="T88" s="122" t="s">
        <v>435</v>
      </c>
      <c r="U88" s="125">
        <v>2003</v>
      </c>
      <c r="V88" s="125">
        <v>2003</v>
      </c>
      <c r="W88" s="125" t="s">
        <v>593</v>
      </c>
      <c r="X88" s="125"/>
      <c r="Y88" s="129" t="s">
        <v>645</v>
      </c>
      <c r="Z88" s="129" t="s">
        <v>646</v>
      </c>
    </row>
    <row r="89" spans="1:26" s="82" customFormat="1" ht="45" x14ac:dyDescent="0.25">
      <c r="A89" s="82" t="s">
        <v>647</v>
      </c>
      <c r="B89" s="82" t="s">
        <v>648</v>
      </c>
      <c r="C89" s="82" t="str">
        <f t="shared" si="2"/>
        <v>KC-084  - Site of Green Pottery</v>
      </c>
      <c r="D89" s="96" t="s">
        <v>649</v>
      </c>
      <c r="E89" s="96" t="s">
        <v>29</v>
      </c>
      <c r="F89" s="97" t="s">
        <v>42</v>
      </c>
      <c r="G89" s="97"/>
      <c r="H89" s="96" t="s">
        <v>620</v>
      </c>
      <c r="I89" s="99" t="s">
        <v>401</v>
      </c>
      <c r="J89" s="95">
        <v>14</v>
      </c>
      <c r="K89" s="95">
        <v>28</v>
      </c>
      <c r="L89" s="112">
        <v>39.301929999999999</v>
      </c>
      <c r="M89" s="112">
        <v>-75.607860000000002</v>
      </c>
      <c r="N89" s="101" t="s">
        <v>650</v>
      </c>
      <c r="O89" s="82" t="s">
        <v>54</v>
      </c>
      <c r="P89" s="82">
        <v>19977</v>
      </c>
      <c r="R89" s="82" t="s">
        <v>37</v>
      </c>
      <c r="T89" s="82" t="s">
        <v>435</v>
      </c>
      <c r="U89" s="97">
        <v>2003</v>
      </c>
      <c r="V89" s="97">
        <v>2003</v>
      </c>
      <c r="W89" s="97" t="s">
        <v>593</v>
      </c>
      <c r="X89" s="97"/>
      <c r="Y89" s="102" t="s">
        <v>651</v>
      </c>
      <c r="Z89" s="102" t="s">
        <v>652</v>
      </c>
    </row>
    <row r="90" spans="1:26" s="82" customFormat="1" ht="45" x14ac:dyDescent="0.25">
      <c r="A90" s="82" t="s">
        <v>653</v>
      </c>
      <c r="B90" s="82" t="s">
        <v>654</v>
      </c>
      <c r="C90" s="82" t="str">
        <f t="shared" si="2"/>
        <v>KC-085  - The Barracks</v>
      </c>
      <c r="D90" s="96" t="s">
        <v>655</v>
      </c>
      <c r="E90" s="96" t="s">
        <v>130</v>
      </c>
      <c r="F90" s="97" t="s">
        <v>30</v>
      </c>
      <c r="G90" s="97"/>
      <c r="H90" s="96" t="s">
        <v>656</v>
      </c>
      <c r="I90" s="99" t="s">
        <v>401</v>
      </c>
      <c r="J90" s="95">
        <v>14</v>
      </c>
      <c r="K90" s="95">
        <v>28</v>
      </c>
      <c r="L90" s="112">
        <v>39.300530000000002</v>
      </c>
      <c r="M90" s="112">
        <v>-75.606030000000004</v>
      </c>
      <c r="N90" s="101" t="s">
        <v>657</v>
      </c>
      <c r="O90" s="82" t="s">
        <v>54</v>
      </c>
      <c r="P90" s="82">
        <v>19977</v>
      </c>
      <c r="R90" s="82" t="s">
        <v>37</v>
      </c>
      <c r="S90" s="82" t="s">
        <v>601</v>
      </c>
      <c r="T90" s="82" t="s">
        <v>435</v>
      </c>
      <c r="U90" s="97">
        <v>2003</v>
      </c>
      <c r="V90" s="97">
        <v>2003</v>
      </c>
      <c r="W90" s="97" t="s">
        <v>593</v>
      </c>
      <c r="X90" s="97"/>
      <c r="Y90" s="102" t="s">
        <v>658</v>
      </c>
      <c r="Z90" s="102" t="s">
        <v>659</v>
      </c>
    </row>
    <row r="91" spans="1:26" s="82" customFormat="1" ht="45" x14ac:dyDescent="0.25">
      <c r="A91" s="82" t="s">
        <v>660</v>
      </c>
      <c r="B91" s="82" t="s">
        <v>661</v>
      </c>
      <c r="C91" s="82" t="str">
        <f t="shared" si="2"/>
        <v>KC-086  - Former Site of ILC Dover</v>
      </c>
      <c r="D91" s="96" t="s">
        <v>662</v>
      </c>
      <c r="E91" s="96" t="s">
        <v>346</v>
      </c>
      <c r="F91" s="97" t="s">
        <v>30</v>
      </c>
      <c r="G91" s="97"/>
      <c r="H91" s="96" t="s">
        <v>663</v>
      </c>
      <c r="I91" s="99" t="s">
        <v>621</v>
      </c>
      <c r="J91" s="95">
        <v>17</v>
      </c>
      <c r="K91" s="95">
        <v>31</v>
      </c>
      <c r="L91" s="112">
        <v>39.164650000000002</v>
      </c>
      <c r="M91" s="112">
        <v>-75.536280000000005</v>
      </c>
      <c r="N91" s="101" t="s">
        <v>664</v>
      </c>
      <c r="O91" s="82" t="s">
        <v>35</v>
      </c>
      <c r="P91" s="82">
        <v>19904</v>
      </c>
      <c r="R91" s="82" t="s">
        <v>37</v>
      </c>
      <c r="T91" s="82" t="s">
        <v>435</v>
      </c>
      <c r="U91" s="97">
        <v>2004</v>
      </c>
      <c r="V91" s="97">
        <v>2004</v>
      </c>
      <c r="W91" s="97" t="s">
        <v>593</v>
      </c>
      <c r="X91" s="97"/>
      <c r="Y91" s="102" t="s">
        <v>665</v>
      </c>
      <c r="Z91" s="102" t="s">
        <v>666</v>
      </c>
    </row>
    <row r="92" spans="1:26" s="82" customFormat="1" ht="45" x14ac:dyDescent="0.25">
      <c r="A92" s="82" t="s">
        <v>667</v>
      </c>
      <c r="B92" s="82" t="s">
        <v>668</v>
      </c>
      <c r="C92" s="82" t="str">
        <f t="shared" si="2"/>
        <v>KC-087  - Calvary Baptist Church</v>
      </c>
      <c r="D92" s="96" t="s">
        <v>669</v>
      </c>
      <c r="E92" s="96" t="s">
        <v>346</v>
      </c>
      <c r="F92" s="97" t="s">
        <v>191</v>
      </c>
      <c r="G92" s="97" t="s">
        <v>293</v>
      </c>
      <c r="H92" s="96" t="s">
        <v>670</v>
      </c>
      <c r="I92" s="99" t="s">
        <v>582</v>
      </c>
      <c r="J92" s="95">
        <v>17</v>
      </c>
      <c r="K92" s="95">
        <v>31</v>
      </c>
      <c r="L92" s="112">
        <v>39.161790000000003</v>
      </c>
      <c r="M92" s="112">
        <v>-75.53143</v>
      </c>
      <c r="N92" s="101" t="s">
        <v>671</v>
      </c>
      <c r="O92" s="82" t="s">
        <v>35</v>
      </c>
      <c r="P92" s="82">
        <v>19904</v>
      </c>
      <c r="R92" s="82" t="s">
        <v>37</v>
      </c>
      <c r="S92" s="82" t="s">
        <v>601</v>
      </c>
      <c r="T92" s="82" t="s">
        <v>435</v>
      </c>
      <c r="U92" s="97">
        <v>2004</v>
      </c>
      <c r="V92" s="97">
        <v>2004</v>
      </c>
      <c r="W92" s="97" t="s">
        <v>593</v>
      </c>
      <c r="X92" s="97"/>
      <c r="Y92" s="131" t="s">
        <v>672</v>
      </c>
      <c r="Z92" s="102" t="s">
        <v>673</v>
      </c>
    </row>
    <row r="93" spans="1:26" s="82" customFormat="1" ht="45" x14ac:dyDescent="0.2">
      <c r="A93" s="82" t="s">
        <v>674</v>
      </c>
      <c r="B93" s="82" t="s">
        <v>675</v>
      </c>
      <c r="C93" s="82" t="str">
        <f t="shared" ref="C93:C124" si="3">A93 &amp; " - " &amp; B93</f>
        <v>KC-088  - Booker T. Washington School</v>
      </c>
      <c r="D93" s="96" t="s">
        <v>676</v>
      </c>
      <c r="E93" s="96" t="s">
        <v>29</v>
      </c>
      <c r="F93" s="97" t="s">
        <v>30</v>
      </c>
      <c r="G93" s="97" t="s">
        <v>293</v>
      </c>
      <c r="H93" s="115" t="s">
        <v>599</v>
      </c>
      <c r="I93" s="99" t="s">
        <v>582</v>
      </c>
      <c r="J93" s="95">
        <v>17</v>
      </c>
      <c r="K93" s="95">
        <v>31</v>
      </c>
      <c r="L93" s="100">
        <v>39.159182999999999</v>
      </c>
      <c r="M93" s="100">
        <v>-75.539471000000006</v>
      </c>
      <c r="N93" s="101" t="s">
        <v>677</v>
      </c>
      <c r="O93" s="82" t="s">
        <v>35</v>
      </c>
      <c r="P93" s="82">
        <v>19904</v>
      </c>
      <c r="R93" s="82" t="s">
        <v>37</v>
      </c>
      <c r="S93" s="102" t="s">
        <v>678</v>
      </c>
      <c r="T93" s="82" t="s">
        <v>38</v>
      </c>
      <c r="U93" s="97">
        <v>2004</v>
      </c>
      <c r="V93" s="97">
        <v>2004</v>
      </c>
      <c r="W93" s="97" t="s">
        <v>39</v>
      </c>
      <c r="X93" s="97">
        <v>2021</v>
      </c>
      <c r="Y93" s="102" t="s">
        <v>679</v>
      </c>
      <c r="Z93" s="148" t="s">
        <v>680</v>
      </c>
    </row>
    <row r="94" spans="1:26" s="82" customFormat="1" ht="45" x14ac:dyDescent="0.25">
      <c r="A94" s="82" t="s">
        <v>681</v>
      </c>
      <c r="B94" s="82" t="s">
        <v>682</v>
      </c>
      <c r="C94" s="82" t="str">
        <f t="shared" si="3"/>
        <v>KC-089  - The Capitol Theater</v>
      </c>
      <c r="D94" s="115" t="s">
        <v>683</v>
      </c>
      <c r="E94" s="96" t="s">
        <v>29</v>
      </c>
      <c r="F94" s="97" t="s">
        <v>30</v>
      </c>
      <c r="G94" s="97"/>
      <c r="H94" s="96" t="s">
        <v>684</v>
      </c>
      <c r="I94" s="99" t="s">
        <v>685</v>
      </c>
      <c r="J94" s="95">
        <v>17</v>
      </c>
      <c r="K94" s="95">
        <v>32</v>
      </c>
      <c r="L94" s="112">
        <v>39.157350000000001</v>
      </c>
      <c r="M94" s="112">
        <v>-75.524330000000006</v>
      </c>
      <c r="N94" s="101" t="s">
        <v>686</v>
      </c>
      <c r="O94" s="82" t="s">
        <v>35</v>
      </c>
      <c r="P94" s="82">
        <v>19901</v>
      </c>
      <c r="R94" s="82" t="s">
        <v>37</v>
      </c>
      <c r="S94" s="82" t="s">
        <v>601</v>
      </c>
      <c r="T94" s="82" t="s">
        <v>435</v>
      </c>
      <c r="U94" s="97">
        <v>2004</v>
      </c>
      <c r="V94" s="97">
        <v>2004</v>
      </c>
      <c r="W94" s="97" t="s">
        <v>593</v>
      </c>
      <c r="X94" s="97"/>
      <c r="Y94" s="165" t="s">
        <v>687</v>
      </c>
      <c r="Z94" s="102" t="s">
        <v>688</v>
      </c>
    </row>
    <row r="95" spans="1:26" s="82" customFormat="1" ht="45" x14ac:dyDescent="0.25">
      <c r="A95" s="82" t="s">
        <v>689</v>
      </c>
      <c r="B95" s="82" t="s">
        <v>690</v>
      </c>
      <c r="C95" s="82" t="str">
        <f t="shared" si="3"/>
        <v>KC-090  - Murderkill / Motherkiln Friends Meeting</v>
      </c>
      <c r="D95" s="96" t="s">
        <v>691</v>
      </c>
      <c r="E95" s="96" t="s">
        <v>29</v>
      </c>
      <c r="F95" s="97" t="s">
        <v>191</v>
      </c>
      <c r="G95" s="97"/>
      <c r="H95" s="96" t="s">
        <v>692</v>
      </c>
      <c r="I95" s="99" t="s">
        <v>566</v>
      </c>
      <c r="J95" s="95">
        <v>16</v>
      </c>
      <c r="K95" s="95">
        <v>33</v>
      </c>
      <c r="L95" s="100" t="s">
        <v>693</v>
      </c>
      <c r="M95" s="100" t="s">
        <v>694</v>
      </c>
      <c r="N95" s="101" t="s">
        <v>695</v>
      </c>
      <c r="O95" s="82" t="s">
        <v>696</v>
      </c>
      <c r="P95" s="82">
        <v>19962</v>
      </c>
      <c r="R95" s="82" t="s">
        <v>37</v>
      </c>
      <c r="S95" s="101" t="s">
        <v>697</v>
      </c>
      <c r="T95" s="82" t="s">
        <v>38</v>
      </c>
      <c r="U95" s="97" t="s">
        <v>698</v>
      </c>
      <c r="V95" s="97">
        <v>2005</v>
      </c>
      <c r="W95" s="97" t="s">
        <v>593</v>
      </c>
      <c r="X95" s="97">
        <v>2022</v>
      </c>
      <c r="Y95" s="114" t="s">
        <v>699</v>
      </c>
      <c r="Z95" s="114" t="s">
        <v>700</v>
      </c>
    </row>
    <row r="96" spans="1:26" s="82" customFormat="1" ht="150" x14ac:dyDescent="0.25">
      <c r="A96" s="82" t="s">
        <v>701</v>
      </c>
      <c r="B96" s="82" t="s">
        <v>702</v>
      </c>
      <c r="C96" s="82" t="str">
        <f t="shared" si="3"/>
        <v>KC-091  - Warner Mifflin 1745-1798</v>
      </c>
      <c r="D96" s="96" t="s">
        <v>691</v>
      </c>
      <c r="E96" s="96" t="s">
        <v>29</v>
      </c>
      <c r="F96" s="97" t="s">
        <v>62</v>
      </c>
      <c r="G96" s="97"/>
      <c r="H96" s="96" t="s">
        <v>642</v>
      </c>
      <c r="I96" s="99" t="s">
        <v>566</v>
      </c>
      <c r="J96" s="95">
        <v>16</v>
      </c>
      <c r="K96" s="95">
        <v>33</v>
      </c>
      <c r="L96" s="100" t="s">
        <v>703</v>
      </c>
      <c r="M96" s="100" t="s">
        <v>704</v>
      </c>
      <c r="N96" s="82" t="s">
        <v>695</v>
      </c>
      <c r="O96" s="82" t="s">
        <v>696</v>
      </c>
      <c r="P96" s="82">
        <v>19962</v>
      </c>
      <c r="R96" s="82" t="s">
        <v>37</v>
      </c>
      <c r="S96" s="82" t="s">
        <v>705</v>
      </c>
      <c r="T96" s="82" t="s">
        <v>38</v>
      </c>
      <c r="U96" s="97">
        <v>2005</v>
      </c>
      <c r="V96" s="97">
        <v>2005</v>
      </c>
      <c r="W96" s="97" t="s">
        <v>39</v>
      </c>
      <c r="X96" s="97">
        <v>2022</v>
      </c>
      <c r="Y96" s="131" t="s">
        <v>706</v>
      </c>
      <c r="Z96" s="102" t="s">
        <v>707</v>
      </c>
    </row>
    <row r="97" spans="1:26" s="82" customFormat="1" ht="45" x14ac:dyDescent="0.25">
      <c r="A97" s="82" t="s">
        <v>708</v>
      </c>
      <c r="B97" s="82" t="s">
        <v>709</v>
      </c>
      <c r="C97" s="82" t="str">
        <f t="shared" si="3"/>
        <v>KC-092  - Parson Thorne Mansion (Silver Hill)</v>
      </c>
      <c r="D97" s="96" t="s">
        <v>710</v>
      </c>
      <c r="E97" s="96" t="s">
        <v>29</v>
      </c>
      <c r="F97" s="97" t="s">
        <v>30</v>
      </c>
      <c r="G97" s="97"/>
      <c r="H97" s="96" t="s">
        <v>711</v>
      </c>
      <c r="I97" s="99" t="s">
        <v>494</v>
      </c>
      <c r="J97" s="95">
        <v>18</v>
      </c>
      <c r="K97" s="95">
        <v>33</v>
      </c>
      <c r="L97" s="100" t="s">
        <v>712</v>
      </c>
      <c r="M97" s="100" t="s">
        <v>713</v>
      </c>
      <c r="N97" s="101" t="s">
        <v>714</v>
      </c>
      <c r="O97" s="82" t="s">
        <v>208</v>
      </c>
      <c r="P97" s="82">
        <v>19963</v>
      </c>
      <c r="R97" s="82" t="s">
        <v>715</v>
      </c>
      <c r="T97" s="82" t="s">
        <v>435</v>
      </c>
      <c r="U97" s="97">
        <v>2005</v>
      </c>
      <c r="V97" s="97">
        <v>2005</v>
      </c>
      <c r="W97" s="97" t="s">
        <v>593</v>
      </c>
      <c r="X97" s="97"/>
      <c r="Y97" s="165" t="s">
        <v>716</v>
      </c>
      <c r="Z97" s="114" t="s">
        <v>717</v>
      </c>
    </row>
    <row r="98" spans="1:26" s="82" customFormat="1" ht="45" x14ac:dyDescent="0.25">
      <c r="A98" s="82" t="s">
        <v>718</v>
      </c>
      <c r="B98" s="82" t="s">
        <v>719</v>
      </c>
      <c r="C98" s="82" t="str">
        <f t="shared" si="3"/>
        <v>KC-093  - Barratt's Chapel</v>
      </c>
      <c r="D98" s="96" t="s">
        <v>720</v>
      </c>
      <c r="E98" s="96" t="s">
        <v>29</v>
      </c>
      <c r="F98" s="97" t="s">
        <v>191</v>
      </c>
      <c r="G98" s="97"/>
      <c r="H98" s="96" t="s">
        <v>628</v>
      </c>
      <c r="I98" s="99" t="s">
        <v>301</v>
      </c>
      <c r="J98" s="95">
        <v>16</v>
      </c>
      <c r="K98" s="95">
        <v>33</v>
      </c>
      <c r="L98" s="100">
        <v>39.024652000000003</v>
      </c>
      <c r="M98" s="100">
        <v>-75.459447999999995</v>
      </c>
      <c r="N98" s="101" t="s">
        <v>721</v>
      </c>
      <c r="O98" s="82" t="s">
        <v>195</v>
      </c>
      <c r="P98" s="82">
        <v>19946</v>
      </c>
      <c r="R98" s="82" t="s">
        <v>37</v>
      </c>
      <c r="S98" s="82" t="s">
        <v>722</v>
      </c>
      <c r="T98" s="82" t="s">
        <v>435</v>
      </c>
      <c r="U98" s="97">
        <v>2005</v>
      </c>
      <c r="V98" s="97">
        <v>2005</v>
      </c>
      <c r="W98" s="97" t="s">
        <v>593</v>
      </c>
      <c r="X98" s="97"/>
      <c r="Y98" s="114" t="s">
        <v>723</v>
      </c>
      <c r="Z98" s="114" t="s">
        <v>724</v>
      </c>
    </row>
    <row r="99" spans="1:26" s="82" customFormat="1" ht="45" x14ac:dyDescent="0.25">
      <c r="A99" s="82" t="s">
        <v>725</v>
      </c>
      <c r="B99" s="82" t="s">
        <v>726</v>
      </c>
      <c r="C99" s="82" t="str">
        <f t="shared" si="3"/>
        <v>KC-094  - Site of Kent County's First Presbyterian Church</v>
      </c>
      <c r="D99" s="96" t="s">
        <v>727</v>
      </c>
      <c r="E99" s="96" t="s">
        <v>29</v>
      </c>
      <c r="F99" s="97" t="s">
        <v>191</v>
      </c>
      <c r="G99" s="97"/>
      <c r="H99" s="96" t="s">
        <v>728</v>
      </c>
      <c r="I99" s="160" t="s">
        <v>621</v>
      </c>
      <c r="J99" s="95">
        <v>17</v>
      </c>
      <c r="K99" s="95">
        <v>31</v>
      </c>
      <c r="L99" s="100" t="s">
        <v>729</v>
      </c>
      <c r="M99" s="100" t="s">
        <v>730</v>
      </c>
      <c r="N99" s="101" t="s">
        <v>731</v>
      </c>
      <c r="O99" s="82" t="s">
        <v>35</v>
      </c>
      <c r="P99" s="82">
        <v>19901</v>
      </c>
      <c r="R99" s="82" t="s">
        <v>37</v>
      </c>
      <c r="T99" s="82" t="s">
        <v>38</v>
      </c>
      <c r="U99" s="97">
        <v>2006</v>
      </c>
      <c r="V99" s="98">
        <v>38785</v>
      </c>
      <c r="W99" s="97" t="s">
        <v>39</v>
      </c>
      <c r="X99" s="97"/>
      <c r="Y99" s="165" t="s">
        <v>732</v>
      </c>
      <c r="Z99" s="102" t="s">
        <v>733</v>
      </c>
    </row>
    <row r="100" spans="1:26" s="82" customFormat="1" ht="30" x14ac:dyDescent="0.25">
      <c r="A100" s="82" t="s">
        <v>734</v>
      </c>
      <c r="B100" s="82" t="s">
        <v>735</v>
      </c>
      <c r="C100" s="82" t="str">
        <f t="shared" si="3"/>
        <v>KC-095  - Cow Marsh Primitive Baptist Church</v>
      </c>
      <c r="D100" s="96" t="s">
        <v>736</v>
      </c>
      <c r="E100" s="96" t="s">
        <v>29</v>
      </c>
      <c r="F100" s="97" t="s">
        <v>191</v>
      </c>
      <c r="G100" s="97"/>
      <c r="H100" s="96" t="s">
        <v>737</v>
      </c>
      <c r="I100" s="99" t="s">
        <v>643</v>
      </c>
      <c r="J100" s="95">
        <v>15</v>
      </c>
      <c r="K100" s="95">
        <v>30</v>
      </c>
      <c r="L100" s="112">
        <v>39.04195</v>
      </c>
      <c r="M100" s="112">
        <v>-75.694280000000006</v>
      </c>
      <c r="N100" s="101" t="s">
        <v>738</v>
      </c>
      <c r="O100" s="82" t="s">
        <v>739</v>
      </c>
      <c r="P100" s="82">
        <v>19934</v>
      </c>
      <c r="R100" s="82" t="s">
        <v>37</v>
      </c>
      <c r="T100" s="82" t="s">
        <v>38</v>
      </c>
      <c r="U100" s="97">
        <v>2005</v>
      </c>
      <c r="V100" s="97">
        <v>2005</v>
      </c>
      <c r="W100" s="97" t="s">
        <v>39</v>
      </c>
      <c r="X100" s="97"/>
      <c r="Y100" s="131" t="s">
        <v>740</v>
      </c>
      <c r="Z100" s="131" t="s">
        <v>741</v>
      </c>
    </row>
    <row r="101" spans="1:26" s="82" customFormat="1" ht="51" x14ac:dyDescent="0.25">
      <c r="A101" s="82" t="s">
        <v>742</v>
      </c>
      <c r="B101" s="82" t="s">
        <v>27</v>
      </c>
      <c r="C101" s="82" t="str">
        <f t="shared" si="3"/>
        <v>KC-096  - Delaware Public Archives</v>
      </c>
      <c r="D101" s="96" t="s">
        <v>743</v>
      </c>
      <c r="E101" s="96" t="s">
        <v>29</v>
      </c>
      <c r="F101" s="97" t="s">
        <v>30</v>
      </c>
      <c r="G101" s="97"/>
      <c r="H101" s="96" t="s">
        <v>744</v>
      </c>
      <c r="I101" s="99"/>
      <c r="J101" s="95">
        <v>17</v>
      </c>
      <c r="K101" s="95">
        <v>32</v>
      </c>
      <c r="L101" s="112">
        <v>39.158230000000003</v>
      </c>
      <c r="M101" s="112">
        <v>-75.520380000000003</v>
      </c>
      <c r="N101" s="101" t="s">
        <v>745</v>
      </c>
      <c r="O101" s="82" t="s">
        <v>35</v>
      </c>
      <c r="P101" s="82">
        <v>19901</v>
      </c>
      <c r="R101" s="82" t="s">
        <v>37</v>
      </c>
      <c r="S101" s="82" t="s">
        <v>601</v>
      </c>
      <c r="T101" s="82" t="s">
        <v>435</v>
      </c>
      <c r="U101" s="97">
        <v>2005</v>
      </c>
      <c r="V101" s="97">
        <v>2005</v>
      </c>
      <c r="W101" s="97" t="s">
        <v>593</v>
      </c>
      <c r="X101" s="97"/>
      <c r="Y101" s="102" t="s">
        <v>746</v>
      </c>
      <c r="Z101" s="102" t="s">
        <v>747</v>
      </c>
    </row>
    <row r="102" spans="1:26" s="82" customFormat="1" ht="30" x14ac:dyDescent="0.25">
      <c r="A102" s="82" t="s">
        <v>748</v>
      </c>
      <c r="B102" s="82" t="s">
        <v>749</v>
      </c>
      <c r="C102" s="82" t="str">
        <f t="shared" si="3"/>
        <v>KC-097  - Cheney Clow's Rebellion</v>
      </c>
      <c r="D102" s="96" t="s">
        <v>501</v>
      </c>
      <c r="E102" s="96" t="s">
        <v>29</v>
      </c>
      <c r="F102" s="97" t="s">
        <v>30</v>
      </c>
      <c r="G102" s="97"/>
      <c r="H102" s="96"/>
      <c r="I102" s="99" t="s">
        <v>643</v>
      </c>
      <c r="J102" s="95">
        <v>15</v>
      </c>
      <c r="K102" s="95">
        <v>11</v>
      </c>
      <c r="L102" s="100" t="s">
        <v>750</v>
      </c>
      <c r="M102" s="100" t="s">
        <v>751</v>
      </c>
      <c r="N102" s="101" t="s">
        <v>752</v>
      </c>
      <c r="O102" s="82" t="s">
        <v>753</v>
      </c>
      <c r="P102" s="82">
        <v>19953</v>
      </c>
      <c r="R102" s="82" t="s">
        <v>37</v>
      </c>
      <c r="T102" s="82" t="s">
        <v>38</v>
      </c>
      <c r="U102" s="97">
        <v>2006</v>
      </c>
      <c r="V102" s="97">
        <v>2006</v>
      </c>
      <c r="W102" s="97" t="s">
        <v>39</v>
      </c>
      <c r="X102" s="97"/>
      <c r="Y102" s="102" t="s">
        <v>754</v>
      </c>
      <c r="Z102" s="102" t="s">
        <v>755</v>
      </c>
    </row>
    <row r="103" spans="1:26" s="122" customFormat="1" ht="45" x14ac:dyDescent="0.25">
      <c r="A103" s="122" t="s">
        <v>756</v>
      </c>
      <c r="B103" s="122" t="s">
        <v>757</v>
      </c>
      <c r="C103" s="122" t="str">
        <f t="shared" si="3"/>
        <v>KC-098  - Union Lodge No. 7, A.F. &amp; A. M.</v>
      </c>
      <c r="D103" s="124" t="s">
        <v>758</v>
      </c>
      <c r="E103" s="124" t="s">
        <v>346</v>
      </c>
      <c r="F103" s="125" t="s">
        <v>42</v>
      </c>
      <c r="G103" s="125"/>
      <c r="H103" s="124"/>
      <c r="I103" s="126" t="s">
        <v>466</v>
      </c>
      <c r="J103" s="123">
        <v>17</v>
      </c>
      <c r="K103" s="123">
        <v>31</v>
      </c>
      <c r="L103" s="127">
        <v>39.159120000000001</v>
      </c>
      <c r="M103" s="127">
        <v>-75.539469999999994</v>
      </c>
      <c r="N103" s="128" t="s">
        <v>759</v>
      </c>
      <c r="O103" s="122" t="s">
        <v>35</v>
      </c>
      <c r="P103" s="122">
        <v>19904</v>
      </c>
      <c r="R103" s="122" t="s">
        <v>37</v>
      </c>
      <c r="S103" s="122" t="s">
        <v>601</v>
      </c>
      <c r="T103" s="122" t="s">
        <v>435</v>
      </c>
      <c r="U103" s="125">
        <v>2006</v>
      </c>
      <c r="V103" s="125">
        <v>2006</v>
      </c>
      <c r="W103" s="125" t="s">
        <v>593</v>
      </c>
      <c r="X103" s="125"/>
      <c r="Y103" s="129" t="s">
        <v>760</v>
      </c>
      <c r="Z103" s="129" t="s">
        <v>761</v>
      </c>
    </row>
    <row r="104" spans="1:26" s="82" customFormat="1" ht="45" x14ac:dyDescent="0.25">
      <c r="A104" s="82" t="s">
        <v>762</v>
      </c>
      <c r="B104" s="82" t="s">
        <v>763</v>
      </c>
      <c r="C104" s="82" t="str">
        <f t="shared" si="3"/>
        <v>KC-099  - Coming of the Railroad</v>
      </c>
      <c r="D104" s="96" t="s">
        <v>764</v>
      </c>
      <c r="E104" s="96" t="s">
        <v>29</v>
      </c>
      <c r="F104" s="97" t="s">
        <v>42</v>
      </c>
      <c r="G104" s="97"/>
      <c r="H104" s="96" t="s">
        <v>765</v>
      </c>
      <c r="I104" s="99" t="s">
        <v>466</v>
      </c>
      <c r="J104" s="95">
        <v>17</v>
      </c>
      <c r="K104" s="95">
        <v>34</v>
      </c>
      <c r="L104" s="112">
        <v>39.1188</v>
      </c>
      <c r="M104" s="112">
        <v>-75.55865</v>
      </c>
      <c r="N104" s="101" t="s">
        <v>766</v>
      </c>
      <c r="O104" s="82" t="s">
        <v>475</v>
      </c>
      <c r="P104" s="82">
        <v>19934</v>
      </c>
      <c r="Q104" s="82" t="s">
        <v>471</v>
      </c>
      <c r="R104" s="82" t="s">
        <v>767</v>
      </c>
      <c r="S104" s="82" t="s">
        <v>477</v>
      </c>
      <c r="T104" s="82" t="s">
        <v>38</v>
      </c>
      <c r="U104" s="97" t="s">
        <v>768</v>
      </c>
      <c r="V104" s="97">
        <v>2006</v>
      </c>
      <c r="W104" s="97" t="s">
        <v>39</v>
      </c>
      <c r="X104" s="97">
        <v>2024</v>
      </c>
      <c r="Y104" s="103" t="s">
        <v>769</v>
      </c>
      <c r="Z104" s="102" t="s">
        <v>770</v>
      </c>
    </row>
    <row r="105" spans="1:26" s="82" customFormat="1" ht="45" x14ac:dyDescent="0.25">
      <c r="A105" s="82" t="s">
        <v>771</v>
      </c>
      <c r="B105" s="82" t="s">
        <v>772</v>
      </c>
      <c r="C105" s="82" t="str">
        <f t="shared" si="3"/>
        <v>KC-100  - Site of Whatcoat Church</v>
      </c>
      <c r="D105" s="96" t="s">
        <v>773</v>
      </c>
      <c r="E105" s="96" t="s">
        <v>29</v>
      </c>
      <c r="F105" s="97" t="s">
        <v>191</v>
      </c>
      <c r="G105" s="97"/>
      <c r="H105" s="96" t="s">
        <v>774</v>
      </c>
      <c r="I105" s="99" t="s">
        <v>466</v>
      </c>
      <c r="J105" s="95">
        <v>17</v>
      </c>
      <c r="K105" s="95">
        <v>34</v>
      </c>
      <c r="L105" s="112">
        <v>39.11103</v>
      </c>
      <c r="M105" s="112">
        <v>-75.544939999999997</v>
      </c>
      <c r="N105" s="101" t="s">
        <v>775</v>
      </c>
      <c r="O105" s="82" t="s">
        <v>286</v>
      </c>
      <c r="P105" s="82">
        <v>19934</v>
      </c>
      <c r="R105" s="82" t="s">
        <v>37</v>
      </c>
      <c r="T105" s="82" t="s">
        <v>38</v>
      </c>
      <c r="U105" s="97">
        <v>2006</v>
      </c>
      <c r="V105" s="97">
        <v>2006</v>
      </c>
      <c r="W105" s="97" t="s">
        <v>39</v>
      </c>
      <c r="X105" s="97"/>
      <c r="Y105" s="114" t="s">
        <v>776</v>
      </c>
      <c r="Z105" s="102" t="s">
        <v>777</v>
      </c>
    </row>
    <row r="106" spans="1:26" s="82" customFormat="1" ht="45" x14ac:dyDescent="0.25">
      <c r="A106" s="82" t="s">
        <v>778</v>
      </c>
      <c r="B106" s="82" t="s">
        <v>779</v>
      </c>
      <c r="C106" s="82" t="str">
        <f t="shared" si="3"/>
        <v>KC-101  - Christ Church (Mispillion Milford)</v>
      </c>
      <c r="D106" s="96" t="s">
        <v>780</v>
      </c>
      <c r="E106" s="96" t="s">
        <v>29</v>
      </c>
      <c r="F106" s="97" t="s">
        <v>191</v>
      </c>
      <c r="G106" s="97"/>
      <c r="H106" s="96"/>
      <c r="I106" s="99" t="s">
        <v>494</v>
      </c>
      <c r="J106" s="95">
        <v>16</v>
      </c>
      <c r="K106" s="95">
        <v>33</v>
      </c>
      <c r="L106" s="113" t="s">
        <v>781</v>
      </c>
      <c r="M106" s="112">
        <v>-75.431579999999997</v>
      </c>
      <c r="N106" s="101" t="s">
        <v>782</v>
      </c>
      <c r="O106" s="82" t="s">
        <v>208</v>
      </c>
      <c r="P106" s="82">
        <v>19963</v>
      </c>
      <c r="R106" s="82" t="s">
        <v>37</v>
      </c>
      <c r="T106" s="82" t="s">
        <v>435</v>
      </c>
      <c r="U106" s="97">
        <v>2006</v>
      </c>
      <c r="V106" s="97">
        <v>2006</v>
      </c>
      <c r="W106" s="97" t="s">
        <v>593</v>
      </c>
      <c r="X106" s="97"/>
      <c r="Y106" s="103" t="s">
        <v>783</v>
      </c>
      <c r="Z106" s="102" t="s">
        <v>784</v>
      </c>
    </row>
    <row r="107" spans="1:26" s="82" customFormat="1" ht="45" x14ac:dyDescent="0.25">
      <c r="A107" s="82" t="s">
        <v>785</v>
      </c>
      <c r="B107" s="82" t="s">
        <v>786</v>
      </c>
      <c r="C107" s="82" t="str">
        <f t="shared" si="3"/>
        <v>KC-102  - School District #5</v>
      </c>
      <c r="D107" s="96" t="s">
        <v>649</v>
      </c>
      <c r="E107" s="96" t="s">
        <v>29</v>
      </c>
      <c r="F107" s="97" t="s">
        <v>276</v>
      </c>
      <c r="G107" s="97"/>
      <c r="H107" s="96" t="s">
        <v>787</v>
      </c>
      <c r="I107" s="99" t="s">
        <v>788</v>
      </c>
      <c r="J107" s="95">
        <v>14</v>
      </c>
      <c r="K107" s="95">
        <v>28</v>
      </c>
      <c r="L107" s="112">
        <v>39.300530000000002</v>
      </c>
      <c r="M107" s="112">
        <v>-75.606030000000004</v>
      </c>
      <c r="N107" s="101" t="s">
        <v>789</v>
      </c>
      <c r="O107" s="82" t="s">
        <v>54</v>
      </c>
      <c r="P107" s="82">
        <v>19977</v>
      </c>
      <c r="R107" s="82" t="s">
        <v>37</v>
      </c>
      <c r="T107" s="82" t="s">
        <v>435</v>
      </c>
      <c r="U107" s="97">
        <v>2007</v>
      </c>
      <c r="V107" s="97">
        <v>2007</v>
      </c>
      <c r="W107" s="97" t="s">
        <v>593</v>
      </c>
      <c r="X107" s="97"/>
      <c r="Y107" s="102" t="s">
        <v>790</v>
      </c>
      <c r="Z107" s="102" t="s">
        <v>791</v>
      </c>
    </row>
    <row r="108" spans="1:26" s="82" customFormat="1" ht="51" x14ac:dyDescent="0.25">
      <c r="A108" s="82" t="s">
        <v>792</v>
      </c>
      <c r="B108" s="82" t="s">
        <v>793</v>
      </c>
      <c r="C108" s="82" t="str">
        <f t="shared" si="3"/>
        <v>KC-103  - Thomas D. Clayton School</v>
      </c>
      <c r="D108" s="96" t="s">
        <v>794</v>
      </c>
      <c r="E108" s="96" t="s">
        <v>29</v>
      </c>
      <c r="F108" s="97" t="s">
        <v>276</v>
      </c>
      <c r="G108" s="97" t="s">
        <v>293</v>
      </c>
      <c r="H108" s="96" t="s">
        <v>795</v>
      </c>
      <c r="I108" s="99" t="s">
        <v>796</v>
      </c>
      <c r="J108" s="95">
        <v>14</v>
      </c>
      <c r="K108" s="95">
        <v>28</v>
      </c>
      <c r="L108" s="112">
        <v>39.300919999999998</v>
      </c>
      <c r="M108" s="113" t="s">
        <v>797</v>
      </c>
      <c r="N108" s="101" t="s">
        <v>798</v>
      </c>
      <c r="O108" s="82" t="s">
        <v>54</v>
      </c>
      <c r="P108" s="82">
        <v>19977</v>
      </c>
      <c r="R108" s="82" t="s">
        <v>37</v>
      </c>
      <c r="S108" s="82" t="s">
        <v>601</v>
      </c>
      <c r="T108" s="82" t="s">
        <v>435</v>
      </c>
      <c r="U108" s="97">
        <v>2007</v>
      </c>
      <c r="V108" s="97">
        <v>2007</v>
      </c>
      <c r="W108" s="97" t="s">
        <v>593</v>
      </c>
      <c r="X108" s="97"/>
      <c r="Y108" s="131" t="s">
        <v>799</v>
      </c>
      <c r="Z108" s="102" t="s">
        <v>800</v>
      </c>
    </row>
    <row r="109" spans="1:26" s="104" customFormat="1" ht="60" x14ac:dyDescent="0.25">
      <c r="A109" s="104" t="s">
        <v>801</v>
      </c>
      <c r="B109" s="104" t="s">
        <v>802</v>
      </c>
      <c r="C109" s="104" t="str">
        <f t="shared" si="3"/>
        <v>KC-104  - Rescue House Of Prayer Temple of Deliverance</v>
      </c>
      <c r="D109" s="106" t="s">
        <v>803</v>
      </c>
      <c r="E109" s="106" t="s">
        <v>98</v>
      </c>
      <c r="F109" s="107" t="s">
        <v>191</v>
      </c>
      <c r="G109" s="107"/>
      <c r="H109" s="106" t="s">
        <v>795</v>
      </c>
      <c r="I109" s="108" t="s">
        <v>804</v>
      </c>
      <c r="J109" s="105">
        <v>15</v>
      </c>
      <c r="K109" s="105">
        <v>30</v>
      </c>
      <c r="L109" s="109">
        <v>39.010060000000003</v>
      </c>
      <c r="M109" s="109">
        <v>-75.573920000000001</v>
      </c>
      <c r="N109" s="110" t="s">
        <v>805</v>
      </c>
      <c r="O109" s="104" t="s">
        <v>155</v>
      </c>
      <c r="P109" s="104">
        <v>19943</v>
      </c>
      <c r="R109" s="104" t="s">
        <v>37</v>
      </c>
      <c r="S109" s="104" t="s">
        <v>806</v>
      </c>
      <c r="T109" s="104" t="s">
        <v>435</v>
      </c>
      <c r="U109" s="107">
        <v>2007</v>
      </c>
      <c r="V109" s="107">
        <v>2007</v>
      </c>
      <c r="W109" s="107" t="s">
        <v>593</v>
      </c>
      <c r="X109" s="107"/>
      <c r="Y109" s="162" t="s">
        <v>807</v>
      </c>
      <c r="Z109" s="111" t="s">
        <v>808</v>
      </c>
    </row>
    <row r="110" spans="1:26" s="82" customFormat="1" ht="38.25" x14ac:dyDescent="0.25">
      <c r="A110" s="82" t="s">
        <v>809</v>
      </c>
      <c r="B110" s="82" t="s">
        <v>810</v>
      </c>
      <c r="C110" s="82" t="str">
        <f t="shared" si="3"/>
        <v>KC-105  - Felton Railroad Station</v>
      </c>
      <c r="D110" s="96" t="s">
        <v>811</v>
      </c>
      <c r="E110" s="96" t="s">
        <v>29</v>
      </c>
      <c r="F110" s="97" t="s">
        <v>30</v>
      </c>
      <c r="G110" s="97"/>
      <c r="H110" s="96" t="s">
        <v>812</v>
      </c>
      <c r="I110" s="99" t="s">
        <v>643</v>
      </c>
      <c r="J110" s="95">
        <v>15</v>
      </c>
      <c r="K110" s="95">
        <v>30</v>
      </c>
      <c r="L110" s="112">
        <v>39.010689999999997</v>
      </c>
      <c r="M110" s="112">
        <v>-75.575909999999993</v>
      </c>
      <c r="N110" s="101" t="s">
        <v>813</v>
      </c>
      <c r="O110" s="82" t="s">
        <v>155</v>
      </c>
      <c r="P110" s="82">
        <v>19943</v>
      </c>
      <c r="Q110" s="82" t="s">
        <v>383</v>
      </c>
      <c r="R110" s="82" t="s">
        <v>814</v>
      </c>
      <c r="S110" s="82" t="s">
        <v>815</v>
      </c>
      <c r="T110" s="82" t="s">
        <v>38</v>
      </c>
      <c r="U110" s="97" t="s">
        <v>816</v>
      </c>
      <c r="V110" s="97">
        <v>2007</v>
      </c>
      <c r="W110" s="97" t="s">
        <v>39</v>
      </c>
      <c r="X110" s="97">
        <v>2024</v>
      </c>
      <c r="Y110" s="102" t="s">
        <v>817</v>
      </c>
      <c r="Z110" s="103" t="s">
        <v>818</v>
      </c>
    </row>
    <row r="111" spans="1:26" s="82" customFormat="1" ht="51" x14ac:dyDescent="0.25">
      <c r="A111" s="82" t="s">
        <v>819</v>
      </c>
      <c r="B111" s="82" t="s">
        <v>820</v>
      </c>
      <c r="C111" s="82" t="str">
        <f t="shared" si="3"/>
        <v>KC-106  - Citizens' Hose Company No. 1</v>
      </c>
      <c r="D111" s="96" t="s">
        <v>821</v>
      </c>
      <c r="E111" s="96" t="s">
        <v>29</v>
      </c>
      <c r="F111" s="97" t="s">
        <v>30</v>
      </c>
      <c r="G111" s="97"/>
      <c r="H111" s="96" t="s">
        <v>822</v>
      </c>
      <c r="I111" s="99" t="s">
        <v>823</v>
      </c>
      <c r="J111" s="95">
        <v>14</v>
      </c>
      <c r="K111" s="95">
        <v>28</v>
      </c>
      <c r="L111" s="112">
        <v>39.299349999999997</v>
      </c>
      <c r="M111" s="112">
        <v>-75.608270000000005</v>
      </c>
      <c r="N111" s="101" t="s">
        <v>824</v>
      </c>
      <c r="O111" s="82" t="s">
        <v>54</v>
      </c>
      <c r="P111" s="82">
        <v>19977</v>
      </c>
      <c r="Q111" s="82" t="s">
        <v>820</v>
      </c>
      <c r="R111" s="82" t="s">
        <v>37</v>
      </c>
      <c r="S111" s="82" t="s">
        <v>825</v>
      </c>
      <c r="T111" s="82" t="s">
        <v>435</v>
      </c>
      <c r="U111" s="97">
        <v>2007</v>
      </c>
      <c r="V111" s="97">
        <v>2007</v>
      </c>
      <c r="W111" s="97" t="s">
        <v>593</v>
      </c>
      <c r="X111" s="97"/>
      <c r="Y111" s="168" t="s">
        <v>826</v>
      </c>
      <c r="Z111" s="114" t="s">
        <v>827</v>
      </c>
    </row>
    <row r="112" spans="1:26" s="82" customFormat="1" ht="51" x14ac:dyDescent="0.25">
      <c r="A112" s="82" t="s">
        <v>828</v>
      </c>
      <c r="B112" s="82" t="s">
        <v>829</v>
      </c>
      <c r="C112" s="82" t="str">
        <f t="shared" si="3"/>
        <v>KC-107  - Mount Zion African Methodist Episcopal Church</v>
      </c>
      <c r="D112" s="96" t="s">
        <v>830</v>
      </c>
      <c r="E112" s="96" t="s">
        <v>29</v>
      </c>
      <c r="F112" s="97" t="s">
        <v>191</v>
      </c>
      <c r="G112" s="97" t="s">
        <v>293</v>
      </c>
      <c r="H112" s="96" t="s">
        <v>502</v>
      </c>
      <c r="I112" s="99" t="s">
        <v>582</v>
      </c>
      <c r="J112" s="95">
        <v>17</v>
      </c>
      <c r="K112" s="95">
        <v>31</v>
      </c>
      <c r="L112" s="112">
        <v>39.162129999999998</v>
      </c>
      <c r="M112" s="112">
        <v>-75.531149999999997</v>
      </c>
      <c r="N112" s="101" t="s">
        <v>831</v>
      </c>
      <c r="O112" s="82" t="s">
        <v>35</v>
      </c>
      <c r="P112" s="82">
        <v>19904</v>
      </c>
      <c r="R112" s="82" t="s">
        <v>37</v>
      </c>
      <c r="T112" s="82" t="s">
        <v>435</v>
      </c>
      <c r="U112" s="97">
        <v>2008</v>
      </c>
      <c r="V112" s="97">
        <v>2008</v>
      </c>
      <c r="W112" s="97" t="s">
        <v>593</v>
      </c>
      <c r="X112" s="97"/>
      <c r="Y112" s="102" t="s">
        <v>832</v>
      </c>
      <c r="Z112" s="102" t="s">
        <v>833</v>
      </c>
    </row>
    <row r="113" spans="1:26" s="82" customFormat="1" ht="63.75" x14ac:dyDescent="0.25">
      <c r="A113" s="82" t="s">
        <v>834</v>
      </c>
      <c r="B113" s="82" t="s">
        <v>835</v>
      </c>
      <c r="C113" s="82" t="str">
        <f t="shared" si="3"/>
        <v>KC-108  - Roby United Methodist Church</v>
      </c>
      <c r="D113" s="96" t="s">
        <v>836</v>
      </c>
      <c r="E113" s="96" t="s">
        <v>29</v>
      </c>
      <c r="F113" s="97" t="s">
        <v>191</v>
      </c>
      <c r="G113" s="97"/>
      <c r="H113" s="96" t="s">
        <v>837</v>
      </c>
      <c r="I113" s="99"/>
      <c r="J113" s="95">
        <v>14</v>
      </c>
      <c r="K113" s="95">
        <v>28</v>
      </c>
      <c r="L113" s="100" t="s">
        <v>838</v>
      </c>
      <c r="M113" s="112">
        <v>-75.513570000000001</v>
      </c>
      <c r="N113" s="101" t="s">
        <v>839</v>
      </c>
      <c r="O113" s="82" t="s">
        <v>840</v>
      </c>
      <c r="P113" s="82">
        <v>19901</v>
      </c>
      <c r="R113" s="82" t="s">
        <v>37</v>
      </c>
      <c r="T113" s="82" t="s">
        <v>435</v>
      </c>
      <c r="U113" s="97">
        <v>2008</v>
      </c>
      <c r="V113" s="97">
        <v>2008</v>
      </c>
      <c r="W113" s="97" t="s">
        <v>593</v>
      </c>
      <c r="X113" s="97"/>
      <c r="Y113" s="102" t="s">
        <v>841</v>
      </c>
      <c r="Z113" s="102" t="s">
        <v>842</v>
      </c>
    </row>
    <row r="114" spans="1:26" s="82" customFormat="1" ht="45" x14ac:dyDescent="0.2">
      <c r="A114" s="82" t="s">
        <v>843</v>
      </c>
      <c r="B114" s="82" t="s">
        <v>844</v>
      </c>
      <c r="C114" s="82" t="str">
        <f t="shared" si="3"/>
        <v>KC-109  - Griffith's Chapel</v>
      </c>
      <c r="D114" s="96" t="s">
        <v>845</v>
      </c>
      <c r="E114" s="96" t="s">
        <v>29</v>
      </c>
      <c r="F114" s="97" t="s">
        <v>191</v>
      </c>
      <c r="G114" s="97"/>
      <c r="H114" s="96" t="s">
        <v>846</v>
      </c>
      <c r="I114" s="99" t="s">
        <v>847</v>
      </c>
      <c r="J114" s="95">
        <v>18</v>
      </c>
      <c r="K114" s="95">
        <v>30</v>
      </c>
      <c r="L114" s="100" t="s">
        <v>848</v>
      </c>
      <c r="M114" s="100" t="s">
        <v>849</v>
      </c>
      <c r="N114" s="101" t="s">
        <v>850</v>
      </c>
      <c r="O114" s="82" t="s">
        <v>851</v>
      </c>
      <c r="P114" s="82">
        <v>19954</v>
      </c>
      <c r="R114" s="82" t="s">
        <v>37</v>
      </c>
      <c r="T114" s="82" t="s">
        <v>38</v>
      </c>
      <c r="U114" s="97">
        <v>2008</v>
      </c>
      <c r="V114" s="97">
        <v>2008</v>
      </c>
      <c r="W114" s="97" t="s">
        <v>39</v>
      </c>
      <c r="X114" s="97">
        <v>2019</v>
      </c>
      <c r="Y114" s="169" t="s">
        <v>852</v>
      </c>
      <c r="Z114" s="114" t="s">
        <v>853</v>
      </c>
    </row>
    <row r="115" spans="1:26" s="82" customFormat="1" ht="45" x14ac:dyDescent="0.25">
      <c r="A115" s="82" t="s">
        <v>854</v>
      </c>
      <c r="B115" s="82" t="s">
        <v>855</v>
      </c>
      <c r="C115" s="82" t="str">
        <f t="shared" si="3"/>
        <v>KC-110  - Zion African Methodist Episcopal Church</v>
      </c>
      <c r="D115" s="96" t="s">
        <v>856</v>
      </c>
      <c r="E115" s="96" t="s">
        <v>130</v>
      </c>
      <c r="F115" s="97" t="s">
        <v>191</v>
      </c>
      <c r="G115" s="97" t="s">
        <v>293</v>
      </c>
      <c r="H115" s="96" t="s">
        <v>857</v>
      </c>
      <c r="I115" s="99" t="s">
        <v>858</v>
      </c>
      <c r="J115" s="95">
        <v>17</v>
      </c>
      <c r="K115" s="95">
        <v>34</v>
      </c>
      <c r="L115" s="100" t="s">
        <v>859</v>
      </c>
      <c r="M115" s="100" t="s">
        <v>860</v>
      </c>
      <c r="N115" s="101" t="s">
        <v>861</v>
      </c>
      <c r="O115" s="82" t="s">
        <v>286</v>
      </c>
      <c r="P115" s="82">
        <v>19934</v>
      </c>
      <c r="R115" s="82" t="s">
        <v>37</v>
      </c>
      <c r="T115" s="82" t="s">
        <v>38</v>
      </c>
      <c r="U115" s="97">
        <v>2008</v>
      </c>
      <c r="V115" s="97">
        <v>2008</v>
      </c>
      <c r="W115" s="97" t="s">
        <v>39</v>
      </c>
      <c r="X115" s="97"/>
      <c r="Y115" s="102" t="s">
        <v>862</v>
      </c>
      <c r="Z115" s="102" t="s">
        <v>863</v>
      </c>
    </row>
    <row r="116" spans="1:26" s="82" customFormat="1" ht="45" x14ac:dyDescent="0.25">
      <c r="A116" s="82" t="s">
        <v>864</v>
      </c>
      <c r="B116" s="82" t="s">
        <v>865</v>
      </c>
      <c r="C116" s="82" t="str">
        <f t="shared" si="3"/>
        <v>KC-111  - Bethel African Methodist Episcopal Church</v>
      </c>
      <c r="D116" s="96" t="s">
        <v>866</v>
      </c>
      <c r="E116" s="96" t="s">
        <v>346</v>
      </c>
      <c r="F116" s="97" t="s">
        <v>191</v>
      </c>
      <c r="G116" s="97" t="s">
        <v>293</v>
      </c>
      <c r="H116" s="96" t="s">
        <v>867</v>
      </c>
      <c r="I116" s="99" t="s">
        <v>868</v>
      </c>
      <c r="J116" s="95">
        <v>16</v>
      </c>
      <c r="K116" s="95">
        <v>32</v>
      </c>
      <c r="L116" s="112">
        <v>38.916539999999998</v>
      </c>
      <c r="M116" s="112">
        <v>-75.432249999999996</v>
      </c>
      <c r="N116" s="101" t="s">
        <v>869</v>
      </c>
      <c r="O116" s="82" t="s">
        <v>208</v>
      </c>
      <c r="P116" s="82">
        <v>19963</v>
      </c>
      <c r="R116" s="82" t="s">
        <v>37</v>
      </c>
      <c r="S116" s="82" t="s">
        <v>870</v>
      </c>
      <c r="T116" s="82" t="s">
        <v>38</v>
      </c>
      <c r="U116" s="97">
        <v>2008</v>
      </c>
      <c r="V116" s="97">
        <v>2008</v>
      </c>
      <c r="W116" s="97" t="s">
        <v>39</v>
      </c>
      <c r="X116" s="97"/>
      <c r="Y116" s="102" t="s">
        <v>871</v>
      </c>
      <c r="Z116" s="102" t="s">
        <v>872</v>
      </c>
    </row>
    <row r="117" spans="1:26" s="82" customFormat="1" ht="45" x14ac:dyDescent="0.25">
      <c r="A117" s="82" t="s">
        <v>873</v>
      </c>
      <c r="B117" s="82" t="s">
        <v>874</v>
      </c>
      <c r="C117" s="82" t="str">
        <f t="shared" si="3"/>
        <v>KC-112  - Byrd's African Methodist Episcopal Church</v>
      </c>
      <c r="D117" s="96" t="s">
        <v>875</v>
      </c>
      <c r="E117" s="96" t="s">
        <v>29</v>
      </c>
      <c r="F117" s="97" t="s">
        <v>191</v>
      </c>
      <c r="G117" s="97" t="s">
        <v>293</v>
      </c>
      <c r="H117" s="96"/>
      <c r="I117" s="99" t="s">
        <v>876</v>
      </c>
      <c r="J117" s="95">
        <v>14</v>
      </c>
      <c r="K117" s="95">
        <v>28</v>
      </c>
      <c r="L117" s="100" t="s">
        <v>877</v>
      </c>
      <c r="M117" s="100" t="s">
        <v>878</v>
      </c>
      <c r="N117" s="101" t="s">
        <v>879</v>
      </c>
      <c r="O117" s="82" t="s">
        <v>101</v>
      </c>
      <c r="P117" s="82">
        <v>19938</v>
      </c>
      <c r="R117" s="82" t="s">
        <v>37</v>
      </c>
      <c r="T117" s="82" t="s">
        <v>38</v>
      </c>
      <c r="U117" s="97">
        <v>2012</v>
      </c>
      <c r="V117" s="98">
        <v>42139</v>
      </c>
      <c r="W117" s="97" t="s">
        <v>39</v>
      </c>
      <c r="X117" s="97"/>
      <c r="Y117" s="102" t="s">
        <v>880</v>
      </c>
      <c r="Z117" s="102" t="s">
        <v>881</v>
      </c>
    </row>
    <row r="118" spans="1:26" s="82" customFormat="1" ht="45" x14ac:dyDescent="0.25">
      <c r="A118" s="82" t="s">
        <v>882</v>
      </c>
      <c r="B118" s="82" t="s">
        <v>883</v>
      </c>
      <c r="C118" s="82" t="str">
        <f t="shared" si="3"/>
        <v>KC-113  - Union Cemetery</v>
      </c>
      <c r="D118" s="96" t="s">
        <v>884</v>
      </c>
      <c r="E118" s="96" t="s">
        <v>29</v>
      </c>
      <c r="F118" s="97" t="s">
        <v>30</v>
      </c>
      <c r="G118" s="97" t="s">
        <v>293</v>
      </c>
      <c r="H118" s="96"/>
      <c r="I118" s="99" t="s">
        <v>876</v>
      </c>
      <c r="J118" s="95">
        <v>14</v>
      </c>
      <c r="K118" s="95">
        <v>28</v>
      </c>
      <c r="L118" s="112">
        <v>39.30227</v>
      </c>
      <c r="M118" s="112">
        <v>-75.601860000000002</v>
      </c>
      <c r="N118" s="101" t="s">
        <v>885</v>
      </c>
      <c r="O118" s="82" t="s">
        <v>54</v>
      </c>
      <c r="P118" s="82">
        <v>19977</v>
      </c>
      <c r="R118" s="82" t="s">
        <v>37</v>
      </c>
      <c r="T118" s="82" t="s">
        <v>38</v>
      </c>
      <c r="U118" s="97">
        <v>2012</v>
      </c>
      <c r="V118" s="98">
        <v>41091</v>
      </c>
      <c r="W118" s="97" t="s">
        <v>39</v>
      </c>
      <c r="X118" s="97"/>
      <c r="Y118" s="102" t="s">
        <v>886</v>
      </c>
      <c r="Z118" s="102" t="s">
        <v>887</v>
      </c>
    </row>
    <row r="119" spans="1:26" s="82" customFormat="1" ht="45" x14ac:dyDescent="0.2">
      <c r="A119" s="82" t="s">
        <v>888</v>
      </c>
      <c r="B119" s="82" t="s">
        <v>889</v>
      </c>
      <c r="C119" s="82" t="str">
        <f t="shared" si="3"/>
        <v>KC-114  - Colonel John Haslet</v>
      </c>
      <c r="D119" s="96" t="s">
        <v>204</v>
      </c>
      <c r="E119" s="96" t="s">
        <v>29</v>
      </c>
      <c r="F119" s="97" t="s">
        <v>62</v>
      </c>
      <c r="G119" s="97"/>
      <c r="H119" s="96" t="s">
        <v>656</v>
      </c>
      <c r="I119" s="99" t="s">
        <v>494</v>
      </c>
      <c r="J119" s="95">
        <v>18</v>
      </c>
      <c r="K119" s="95">
        <v>33</v>
      </c>
      <c r="L119" s="112">
        <v>38.92942</v>
      </c>
      <c r="M119" s="112">
        <v>-75.444689999999994</v>
      </c>
      <c r="N119" s="101" t="s">
        <v>890</v>
      </c>
      <c r="O119" s="82" t="s">
        <v>208</v>
      </c>
      <c r="P119" s="82">
        <v>19963</v>
      </c>
      <c r="R119" s="82" t="s">
        <v>37</v>
      </c>
      <c r="S119" s="82" t="s">
        <v>891</v>
      </c>
      <c r="T119" s="82" t="s">
        <v>38</v>
      </c>
      <c r="U119" s="97">
        <v>2013</v>
      </c>
      <c r="V119" s="98">
        <v>41563</v>
      </c>
      <c r="W119" s="97" t="s">
        <v>39</v>
      </c>
      <c r="X119" s="97"/>
      <c r="Y119" s="102" t="s">
        <v>892</v>
      </c>
      <c r="Z119" s="148" t="s">
        <v>893</v>
      </c>
    </row>
    <row r="120" spans="1:26" s="82" customFormat="1" ht="45" x14ac:dyDescent="0.25">
      <c r="A120" s="82" t="s">
        <v>894</v>
      </c>
      <c r="B120" s="82" t="s">
        <v>895</v>
      </c>
      <c r="C120" s="82" t="str">
        <f t="shared" si="3"/>
        <v>KC-115  - Observation Tower at Big Stone Beach</v>
      </c>
      <c r="D120" s="96" t="s">
        <v>896</v>
      </c>
      <c r="E120" s="96" t="s">
        <v>29</v>
      </c>
      <c r="F120" s="97" t="s">
        <v>30</v>
      </c>
      <c r="G120" s="97"/>
      <c r="H120" s="96" t="s">
        <v>897</v>
      </c>
      <c r="I120" s="99" t="s">
        <v>898</v>
      </c>
      <c r="J120" s="95">
        <v>16</v>
      </c>
      <c r="K120" s="95">
        <v>33</v>
      </c>
      <c r="L120" s="112">
        <v>39.000590000000003</v>
      </c>
      <c r="M120" s="112">
        <v>-75.328580000000002</v>
      </c>
      <c r="N120" s="101" t="s">
        <v>899</v>
      </c>
      <c r="O120" s="82" t="s">
        <v>208</v>
      </c>
      <c r="P120" s="82">
        <v>19963</v>
      </c>
      <c r="Q120" s="82" t="s">
        <v>900</v>
      </c>
      <c r="R120" s="82" t="s">
        <v>37</v>
      </c>
      <c r="T120" s="82" t="s">
        <v>38</v>
      </c>
      <c r="U120" s="97">
        <v>2015</v>
      </c>
      <c r="V120" s="98">
        <v>42250</v>
      </c>
      <c r="W120" s="97" t="s">
        <v>39</v>
      </c>
      <c r="X120" s="97"/>
      <c r="Y120" s="114" t="s">
        <v>901</v>
      </c>
      <c r="Z120" s="114" t="s">
        <v>902</v>
      </c>
    </row>
    <row r="121" spans="1:26" s="82" customFormat="1" ht="45" x14ac:dyDescent="0.25">
      <c r="A121" s="82" t="s">
        <v>903</v>
      </c>
      <c r="B121" s="82" t="s">
        <v>904</v>
      </c>
      <c r="C121" s="82" t="str">
        <f t="shared" si="3"/>
        <v>KC-116  - Caesar Rodney School District</v>
      </c>
      <c r="D121" s="96" t="s">
        <v>905</v>
      </c>
      <c r="E121" s="96" t="s">
        <v>29</v>
      </c>
      <c r="F121" s="97" t="s">
        <v>276</v>
      </c>
      <c r="G121" s="97"/>
      <c r="H121" s="96" t="s">
        <v>787</v>
      </c>
      <c r="I121" s="99" t="s">
        <v>906</v>
      </c>
      <c r="J121" s="95">
        <v>17</v>
      </c>
      <c r="K121" s="95">
        <v>34</v>
      </c>
      <c r="L121" s="112">
        <v>39.119439999999997</v>
      </c>
      <c r="M121" s="112">
        <v>-75.552459999999996</v>
      </c>
      <c r="N121" s="101" t="s">
        <v>907</v>
      </c>
      <c r="O121" s="82" t="s">
        <v>475</v>
      </c>
      <c r="P121" s="82">
        <v>19934</v>
      </c>
      <c r="R121" s="82" t="s">
        <v>37</v>
      </c>
      <c r="T121" s="82" t="s">
        <v>38</v>
      </c>
      <c r="U121" s="97">
        <v>2015</v>
      </c>
      <c r="V121" s="98">
        <v>42244</v>
      </c>
      <c r="W121" s="97" t="s">
        <v>39</v>
      </c>
      <c r="X121" s="97"/>
      <c r="Y121" s="103" t="s">
        <v>908</v>
      </c>
      <c r="Z121" s="102" t="s">
        <v>909</v>
      </c>
    </row>
    <row r="122" spans="1:26" s="82" customFormat="1" ht="45" x14ac:dyDescent="0.25">
      <c r="A122" s="82" t="s">
        <v>910</v>
      </c>
      <c r="B122" s="82" t="s">
        <v>911</v>
      </c>
      <c r="C122" s="82" t="str">
        <f t="shared" si="3"/>
        <v>KC-117  - Eden Hill Farm</v>
      </c>
      <c r="D122" s="96" t="s">
        <v>912</v>
      </c>
      <c r="E122" s="96" t="s">
        <v>29</v>
      </c>
      <c r="F122" s="97" t="s">
        <v>30</v>
      </c>
      <c r="G122" s="97"/>
      <c r="H122" s="96" t="s">
        <v>913</v>
      </c>
      <c r="I122" s="99" t="s">
        <v>914</v>
      </c>
      <c r="J122" s="95">
        <v>17</v>
      </c>
      <c r="K122" s="95">
        <v>31</v>
      </c>
      <c r="L122" s="112">
        <v>39.154269999999997</v>
      </c>
      <c r="M122" s="112">
        <v>-75.537469999999999</v>
      </c>
      <c r="N122" s="101" t="s">
        <v>915</v>
      </c>
      <c r="O122" s="82" t="s">
        <v>35</v>
      </c>
      <c r="P122" s="82">
        <v>19904</v>
      </c>
      <c r="R122" s="82" t="s">
        <v>37</v>
      </c>
      <c r="T122" s="82" t="s">
        <v>38</v>
      </c>
      <c r="U122" s="97">
        <v>2015</v>
      </c>
      <c r="V122" s="98">
        <v>42276</v>
      </c>
      <c r="W122" s="97" t="s">
        <v>39</v>
      </c>
      <c r="X122" s="97"/>
      <c r="Y122" s="102" t="s">
        <v>916</v>
      </c>
      <c r="Z122" s="102" t="s">
        <v>917</v>
      </c>
    </row>
    <row r="123" spans="1:26" s="82" customFormat="1" ht="45" x14ac:dyDescent="0.25">
      <c r="A123" s="82" t="s">
        <v>918</v>
      </c>
      <c r="B123" s="82" t="s">
        <v>919</v>
      </c>
      <c r="C123" s="82" t="str">
        <f t="shared" si="3"/>
        <v>KC-118  - Samuel D. Burris</v>
      </c>
      <c r="D123" s="96" t="s">
        <v>920</v>
      </c>
      <c r="E123" s="96" t="s">
        <v>29</v>
      </c>
      <c r="F123" s="97" t="s">
        <v>62</v>
      </c>
      <c r="G123" s="97" t="s">
        <v>293</v>
      </c>
      <c r="H123" s="115" t="s">
        <v>921</v>
      </c>
      <c r="I123" s="99" t="s">
        <v>922</v>
      </c>
      <c r="J123" s="95">
        <v>15</v>
      </c>
      <c r="K123" s="95">
        <v>30</v>
      </c>
      <c r="L123" s="100" t="s">
        <v>923</v>
      </c>
      <c r="M123" s="100" t="s">
        <v>924</v>
      </c>
      <c r="N123" s="101" t="s">
        <v>925</v>
      </c>
      <c r="O123" s="82" t="s">
        <v>286</v>
      </c>
      <c r="P123" s="82">
        <v>19934</v>
      </c>
      <c r="R123" s="82" t="s">
        <v>37</v>
      </c>
      <c r="S123" s="102"/>
      <c r="T123" s="82" t="s">
        <v>38</v>
      </c>
      <c r="U123" s="97">
        <v>2015</v>
      </c>
      <c r="V123" s="98">
        <v>42307</v>
      </c>
      <c r="W123" s="97" t="s">
        <v>39</v>
      </c>
      <c r="X123" s="97"/>
      <c r="Y123" s="102" t="s">
        <v>926</v>
      </c>
      <c r="Z123" s="102" t="s">
        <v>927</v>
      </c>
    </row>
    <row r="124" spans="1:26" s="82" customFormat="1" ht="45" x14ac:dyDescent="0.25">
      <c r="A124" s="82" t="s">
        <v>928</v>
      </c>
      <c r="B124" s="82" t="s">
        <v>929</v>
      </c>
      <c r="C124" s="82" t="str">
        <f t="shared" si="3"/>
        <v>KC-119  - Annie Jump Cannon</v>
      </c>
      <c r="D124" s="96" t="s">
        <v>930</v>
      </c>
      <c r="E124" s="96" t="s">
        <v>29</v>
      </c>
      <c r="F124" s="97" t="s">
        <v>62</v>
      </c>
      <c r="G124" s="97" t="s">
        <v>931</v>
      </c>
      <c r="H124" s="96"/>
      <c r="I124" s="99" t="s">
        <v>932</v>
      </c>
      <c r="J124" s="95">
        <v>17</v>
      </c>
      <c r="K124" s="95">
        <v>31</v>
      </c>
      <c r="L124" s="100" t="s">
        <v>933</v>
      </c>
      <c r="M124" s="100" t="s">
        <v>934</v>
      </c>
      <c r="N124" s="101" t="s">
        <v>935</v>
      </c>
      <c r="O124" s="82" t="s">
        <v>35</v>
      </c>
      <c r="P124" s="82">
        <v>19901</v>
      </c>
      <c r="R124" s="82" t="s">
        <v>37</v>
      </c>
      <c r="T124" s="82" t="s">
        <v>38</v>
      </c>
      <c r="U124" s="97">
        <v>2016</v>
      </c>
      <c r="V124" s="98">
        <v>42468</v>
      </c>
      <c r="W124" s="97" t="s">
        <v>39</v>
      </c>
      <c r="X124" s="97"/>
      <c r="Y124" s="131" t="s">
        <v>936</v>
      </c>
      <c r="Z124" s="102" t="s">
        <v>937</v>
      </c>
    </row>
    <row r="125" spans="1:26" s="82" customFormat="1" ht="45" x14ac:dyDescent="0.25">
      <c r="A125" s="82" t="s">
        <v>938</v>
      </c>
      <c r="B125" s="82" t="s">
        <v>939</v>
      </c>
      <c r="C125" s="82" t="str">
        <f t="shared" ref="C125:C145" si="4">A125 &amp; " - " &amp; B125</f>
        <v>KC-120  - Laws Chapel</v>
      </c>
      <c r="D125" s="96" t="s">
        <v>940</v>
      </c>
      <c r="E125" s="96" t="s">
        <v>29</v>
      </c>
      <c r="F125" s="97" t="s">
        <v>191</v>
      </c>
      <c r="G125" s="97"/>
      <c r="H125" s="96"/>
      <c r="I125" s="99" t="s">
        <v>941</v>
      </c>
      <c r="J125" s="95">
        <v>16</v>
      </c>
      <c r="K125" s="95">
        <v>33</v>
      </c>
      <c r="L125" s="100" t="s">
        <v>942</v>
      </c>
      <c r="M125" s="100" t="s">
        <v>943</v>
      </c>
      <c r="N125" s="101" t="s">
        <v>944</v>
      </c>
      <c r="O125" s="82" t="s">
        <v>155</v>
      </c>
      <c r="P125" s="82">
        <v>19943</v>
      </c>
      <c r="R125" s="82" t="s">
        <v>37</v>
      </c>
      <c r="T125" s="82" t="s">
        <v>38</v>
      </c>
      <c r="U125" s="97">
        <v>2016</v>
      </c>
      <c r="V125" s="98">
        <v>42623</v>
      </c>
      <c r="W125" s="97" t="s">
        <v>39</v>
      </c>
      <c r="X125" s="97"/>
      <c r="Y125" s="102" t="s">
        <v>945</v>
      </c>
      <c r="Z125" s="102" t="s">
        <v>946</v>
      </c>
    </row>
    <row r="126" spans="1:26" s="82" customFormat="1" ht="45" x14ac:dyDescent="0.25">
      <c r="A126" s="82" t="s">
        <v>947</v>
      </c>
      <c r="B126" s="82" t="s">
        <v>948</v>
      </c>
      <c r="C126" s="82" t="str">
        <f t="shared" si="4"/>
        <v>KC-121  - Town of Bowers</v>
      </c>
      <c r="D126" s="96" t="s">
        <v>949</v>
      </c>
      <c r="E126" s="96" t="s">
        <v>29</v>
      </c>
      <c r="F126" s="97" t="s">
        <v>205</v>
      </c>
      <c r="G126" s="97"/>
      <c r="H126" s="96"/>
      <c r="I126" s="99" t="s">
        <v>950</v>
      </c>
      <c r="J126" s="95">
        <v>16</v>
      </c>
      <c r="K126" s="95">
        <v>33</v>
      </c>
      <c r="L126" s="100" t="s">
        <v>951</v>
      </c>
      <c r="M126" s="100" t="s">
        <v>952</v>
      </c>
      <c r="N126" s="101" t="s">
        <v>953</v>
      </c>
      <c r="O126" s="82" t="s">
        <v>954</v>
      </c>
      <c r="P126" s="82">
        <v>19946</v>
      </c>
      <c r="R126" s="82" t="s">
        <v>37</v>
      </c>
      <c r="T126" s="82" t="s">
        <v>38</v>
      </c>
      <c r="U126" s="97" t="s">
        <v>955</v>
      </c>
      <c r="V126" s="98">
        <v>42657</v>
      </c>
      <c r="W126" s="97" t="s">
        <v>39</v>
      </c>
      <c r="X126" s="97">
        <v>2016</v>
      </c>
      <c r="Y126" s="102" t="s">
        <v>956</v>
      </c>
      <c r="Z126" s="102" t="s">
        <v>957</v>
      </c>
    </row>
    <row r="127" spans="1:26" s="82" customFormat="1" ht="45" x14ac:dyDescent="0.25">
      <c r="A127" s="82" t="s">
        <v>958</v>
      </c>
      <c r="B127" s="82" t="s">
        <v>959</v>
      </c>
      <c r="C127" s="82" t="str">
        <f t="shared" si="4"/>
        <v>KC-122  - St. Paul African Methodist Episcopal (A.M.E.) Church</v>
      </c>
      <c r="D127" s="96" t="s">
        <v>960</v>
      </c>
      <c r="E127" s="96" t="s">
        <v>29</v>
      </c>
      <c r="F127" s="97" t="s">
        <v>191</v>
      </c>
      <c r="G127" s="97" t="s">
        <v>293</v>
      </c>
      <c r="H127" s="96" t="s">
        <v>183</v>
      </c>
      <c r="I127" s="99" t="s">
        <v>961</v>
      </c>
      <c r="J127" s="95">
        <v>15</v>
      </c>
      <c r="K127" s="95">
        <v>30</v>
      </c>
      <c r="L127" s="112">
        <v>38.922350000000002</v>
      </c>
      <c r="M127" s="112">
        <v>-75.582660000000004</v>
      </c>
      <c r="N127" s="101" t="s">
        <v>962</v>
      </c>
      <c r="O127" s="82" t="s">
        <v>327</v>
      </c>
      <c r="P127" s="82">
        <v>19952</v>
      </c>
      <c r="R127" s="82" t="s">
        <v>37</v>
      </c>
      <c r="T127" s="82" t="s">
        <v>38</v>
      </c>
      <c r="U127" s="97">
        <v>2017</v>
      </c>
      <c r="V127" s="98">
        <v>42873</v>
      </c>
      <c r="W127" s="97" t="s">
        <v>39</v>
      </c>
      <c r="X127" s="97"/>
      <c r="Y127" s="131" t="s">
        <v>963</v>
      </c>
      <c r="Z127" s="131" t="s">
        <v>964</v>
      </c>
    </row>
    <row r="128" spans="1:26" s="82" customFormat="1" ht="45" x14ac:dyDescent="0.25">
      <c r="A128" s="82" t="s">
        <v>965</v>
      </c>
      <c r="B128" s="82" t="s">
        <v>966</v>
      </c>
      <c r="C128" s="82" t="str">
        <f t="shared" si="4"/>
        <v>KC-123  - Former Site of Whitehall Plantation</v>
      </c>
      <c r="D128" s="96" t="s">
        <v>967</v>
      </c>
      <c r="E128" s="96" t="s">
        <v>29</v>
      </c>
      <c r="F128" s="97" t="s">
        <v>30</v>
      </c>
      <c r="G128" s="97" t="s">
        <v>293</v>
      </c>
      <c r="H128" s="96" t="s">
        <v>968</v>
      </c>
      <c r="I128" s="99"/>
      <c r="J128" s="95">
        <v>14</v>
      </c>
      <c r="K128" s="95">
        <v>28</v>
      </c>
      <c r="L128" s="100" t="s">
        <v>969</v>
      </c>
      <c r="M128" s="100" t="s">
        <v>970</v>
      </c>
      <c r="N128" s="101" t="s">
        <v>971</v>
      </c>
      <c r="O128" s="82" t="s">
        <v>54</v>
      </c>
      <c r="P128" s="82">
        <v>19977</v>
      </c>
      <c r="R128" s="82" t="s">
        <v>37</v>
      </c>
      <c r="T128" s="82" t="s">
        <v>38</v>
      </c>
      <c r="U128" s="97">
        <v>2017</v>
      </c>
      <c r="V128" s="98">
        <v>43022</v>
      </c>
      <c r="W128" s="97" t="s">
        <v>39</v>
      </c>
      <c r="X128" s="97"/>
      <c r="Y128" s="102" t="s">
        <v>972</v>
      </c>
      <c r="Z128" s="102" t="s">
        <v>973</v>
      </c>
    </row>
    <row r="129" spans="1:26" s="81" customFormat="1" ht="45" x14ac:dyDescent="0.25">
      <c r="A129" s="82" t="s">
        <v>974</v>
      </c>
      <c r="B129" s="82" t="s">
        <v>975</v>
      </c>
      <c r="C129" s="82" t="str">
        <f t="shared" si="4"/>
        <v>KC-124  - Little Creek United Methodist Church</v>
      </c>
      <c r="D129" s="84" t="s">
        <v>976</v>
      </c>
      <c r="E129" s="84" t="s">
        <v>29</v>
      </c>
      <c r="F129" s="85" t="s">
        <v>191</v>
      </c>
      <c r="G129" s="85"/>
      <c r="H129" s="84" t="s">
        <v>977</v>
      </c>
      <c r="I129" s="86" t="s">
        <v>978</v>
      </c>
      <c r="J129" s="83">
        <v>16</v>
      </c>
      <c r="K129" s="83">
        <v>28</v>
      </c>
      <c r="L129" s="92">
        <v>39.163829999999997</v>
      </c>
      <c r="M129" s="92">
        <v>-75.446950000000001</v>
      </c>
      <c r="N129" s="88" t="s">
        <v>979</v>
      </c>
      <c r="O129" s="81" t="s">
        <v>980</v>
      </c>
      <c r="P129" s="81">
        <v>19961</v>
      </c>
      <c r="R129" s="81" t="s">
        <v>37</v>
      </c>
      <c r="T129" s="81" t="s">
        <v>38</v>
      </c>
      <c r="U129" s="85">
        <v>2017</v>
      </c>
      <c r="V129" s="91">
        <v>43031</v>
      </c>
      <c r="W129" s="85" t="s">
        <v>39</v>
      </c>
      <c r="X129" s="85"/>
      <c r="Y129" s="89" t="s">
        <v>981</v>
      </c>
      <c r="Z129" s="89" t="s">
        <v>982</v>
      </c>
    </row>
    <row r="130" spans="1:26" s="82" customFormat="1" ht="45" x14ac:dyDescent="0.25">
      <c r="A130" s="82" t="s">
        <v>983</v>
      </c>
      <c r="B130" s="82" t="s">
        <v>984</v>
      </c>
      <c r="C130" s="82" t="str">
        <f t="shared" si="4"/>
        <v>KC-125  - St. Peter's Episcopal Church</v>
      </c>
      <c r="D130" s="96" t="s">
        <v>985</v>
      </c>
      <c r="E130" s="96" t="s">
        <v>29</v>
      </c>
      <c r="F130" s="97" t="s">
        <v>191</v>
      </c>
      <c r="G130" s="97"/>
      <c r="H130" s="96" t="s">
        <v>986</v>
      </c>
      <c r="I130" s="99" t="s">
        <v>796</v>
      </c>
      <c r="J130" s="95">
        <v>14</v>
      </c>
      <c r="K130" s="95">
        <v>28</v>
      </c>
      <c r="L130" s="112">
        <v>39.305520000000001</v>
      </c>
      <c r="M130" s="112">
        <v>-75.616590000000002</v>
      </c>
      <c r="N130" s="101" t="s">
        <v>987</v>
      </c>
      <c r="O130" s="82" t="s">
        <v>54</v>
      </c>
      <c r="P130" s="82">
        <v>19977</v>
      </c>
      <c r="Q130" s="82" t="s">
        <v>988</v>
      </c>
      <c r="R130" s="82" t="s">
        <v>37</v>
      </c>
      <c r="T130" s="82" t="s">
        <v>38</v>
      </c>
      <c r="U130" s="97">
        <v>2018</v>
      </c>
      <c r="V130" s="98">
        <v>43334</v>
      </c>
      <c r="W130" s="97" t="s">
        <v>39</v>
      </c>
      <c r="X130" s="97"/>
      <c r="Y130" s="102" t="s">
        <v>989</v>
      </c>
      <c r="Z130" s="102" t="s">
        <v>990</v>
      </c>
    </row>
    <row r="131" spans="1:26" s="82" customFormat="1" ht="45" x14ac:dyDescent="0.25">
      <c r="A131" s="82" t="s">
        <v>991</v>
      </c>
      <c r="B131" s="82" t="s">
        <v>992</v>
      </c>
      <c r="C131" s="82" t="str">
        <f t="shared" si="4"/>
        <v>KC-126  - Town of Little Creek</v>
      </c>
      <c r="D131" s="96" t="s">
        <v>993</v>
      </c>
      <c r="E131" s="96" t="s">
        <v>29</v>
      </c>
      <c r="F131" s="97" t="s">
        <v>205</v>
      </c>
      <c r="G131" s="97"/>
      <c r="H131" s="96" t="s">
        <v>994</v>
      </c>
      <c r="I131" s="99" t="s">
        <v>995</v>
      </c>
      <c r="J131" s="95">
        <v>16</v>
      </c>
      <c r="K131" s="95">
        <v>28</v>
      </c>
      <c r="L131" s="112">
        <v>39.161200000000001</v>
      </c>
      <c r="M131" s="112">
        <v>-75.445970000000003</v>
      </c>
      <c r="N131" s="101" t="s">
        <v>996</v>
      </c>
      <c r="O131" s="82" t="s">
        <v>980</v>
      </c>
      <c r="P131" s="82">
        <v>19901</v>
      </c>
      <c r="R131" s="82" t="s">
        <v>37</v>
      </c>
      <c r="T131" s="82" t="s">
        <v>38</v>
      </c>
      <c r="U131" s="97">
        <v>2019</v>
      </c>
      <c r="V131" s="98">
        <v>43600</v>
      </c>
      <c r="W131" s="97" t="s">
        <v>39</v>
      </c>
      <c r="X131" s="97"/>
      <c r="Y131" s="131" t="s">
        <v>997</v>
      </c>
      <c r="Z131" s="102" t="s">
        <v>998</v>
      </c>
    </row>
    <row r="132" spans="1:26" s="82" customFormat="1" ht="45" x14ac:dyDescent="0.25">
      <c r="A132" s="82" t="s">
        <v>999</v>
      </c>
      <c r="B132" s="82" t="s">
        <v>1000</v>
      </c>
      <c r="C132" s="82" t="str">
        <f t="shared" si="4"/>
        <v>KC-127  - Town of Farmington</v>
      </c>
      <c r="D132" s="96" t="s">
        <v>1001</v>
      </c>
      <c r="E132" s="96" t="s">
        <v>29</v>
      </c>
      <c r="F132" s="97" t="s">
        <v>205</v>
      </c>
      <c r="G132" s="97"/>
      <c r="H132" s="96" t="s">
        <v>1002</v>
      </c>
      <c r="I132" s="99" t="s">
        <v>1003</v>
      </c>
      <c r="J132" s="95">
        <v>15</v>
      </c>
      <c r="K132" s="95">
        <v>30</v>
      </c>
      <c r="L132" s="112">
        <v>38.869619999999998</v>
      </c>
      <c r="M132" s="112">
        <v>-75.577039999999997</v>
      </c>
      <c r="N132" s="101" t="s">
        <v>1004</v>
      </c>
      <c r="O132" s="82" t="s">
        <v>460</v>
      </c>
      <c r="P132" s="82">
        <v>19950</v>
      </c>
      <c r="R132" s="82" t="s">
        <v>37</v>
      </c>
      <c r="T132" s="82" t="s">
        <v>38</v>
      </c>
      <c r="U132" s="97">
        <v>2019</v>
      </c>
      <c r="V132" s="98">
        <v>43712</v>
      </c>
      <c r="W132" s="97" t="s">
        <v>39</v>
      </c>
      <c r="X132" s="97"/>
      <c r="Y132" s="164" t="s">
        <v>1005</v>
      </c>
      <c r="Z132" s="102" t="s">
        <v>1006</v>
      </c>
    </row>
    <row r="133" spans="1:26" s="82" customFormat="1" ht="45" x14ac:dyDescent="0.2">
      <c r="A133" s="82" t="s">
        <v>1007</v>
      </c>
      <c r="B133" s="82" t="s">
        <v>1008</v>
      </c>
      <c r="C133" s="82" t="str">
        <f t="shared" si="4"/>
        <v>KC-128  - Dover International Speedway</v>
      </c>
      <c r="D133" s="96" t="s">
        <v>1009</v>
      </c>
      <c r="E133" s="96" t="s">
        <v>29</v>
      </c>
      <c r="F133" s="97" t="s">
        <v>42</v>
      </c>
      <c r="G133" s="97"/>
      <c r="H133" s="96"/>
      <c r="I133" s="99" t="s">
        <v>1010</v>
      </c>
      <c r="J133" s="95">
        <v>17</v>
      </c>
      <c r="K133" s="95">
        <v>28</v>
      </c>
      <c r="L133" s="112">
        <v>39.188879999999997</v>
      </c>
      <c r="M133" s="112">
        <v>-75.525400000000005</v>
      </c>
      <c r="N133" s="101" t="s">
        <v>1011</v>
      </c>
      <c r="O133" s="82" t="s">
        <v>35</v>
      </c>
      <c r="P133" s="82">
        <v>19901</v>
      </c>
      <c r="R133" s="82" t="s">
        <v>37</v>
      </c>
      <c r="S133" s="82" t="s">
        <v>1012</v>
      </c>
      <c r="T133" s="82" t="s">
        <v>38</v>
      </c>
      <c r="U133" s="97">
        <v>2019</v>
      </c>
      <c r="V133" s="98">
        <v>43712</v>
      </c>
      <c r="W133" s="97" t="s">
        <v>39</v>
      </c>
      <c r="X133" s="97">
        <v>2021</v>
      </c>
      <c r="Y133" s="102" t="s">
        <v>1013</v>
      </c>
      <c r="Z133" s="148" t="s">
        <v>1014</v>
      </c>
    </row>
    <row r="134" spans="1:26" s="82" customFormat="1" ht="45" x14ac:dyDescent="0.25">
      <c r="A134" s="82" t="s">
        <v>1015</v>
      </c>
      <c r="B134" s="82" t="s">
        <v>1016</v>
      </c>
      <c r="C134" s="82" t="str">
        <f t="shared" si="4"/>
        <v>KC-129  - Dover Downs</v>
      </c>
      <c r="D134" s="96" t="s">
        <v>1017</v>
      </c>
      <c r="E134" s="96" t="s">
        <v>29</v>
      </c>
      <c r="F134" s="97" t="s">
        <v>42</v>
      </c>
      <c r="G134" s="97"/>
      <c r="H134" s="96" t="s">
        <v>1018</v>
      </c>
      <c r="I134" s="99" t="s">
        <v>1010</v>
      </c>
      <c r="J134" s="95">
        <v>17</v>
      </c>
      <c r="K134" s="95">
        <v>28</v>
      </c>
      <c r="L134" s="112">
        <v>39.186250000000001</v>
      </c>
      <c r="M134" s="112">
        <v>-75.535929999999993</v>
      </c>
      <c r="N134" s="101" t="s">
        <v>1019</v>
      </c>
      <c r="O134" s="82" t="s">
        <v>35</v>
      </c>
      <c r="P134" s="82">
        <v>19901</v>
      </c>
      <c r="R134" s="82" t="s">
        <v>37</v>
      </c>
      <c r="T134" s="82" t="s">
        <v>38</v>
      </c>
      <c r="U134" s="97">
        <v>2019</v>
      </c>
      <c r="V134" s="98">
        <v>43580</v>
      </c>
      <c r="W134" s="97" t="s">
        <v>39</v>
      </c>
      <c r="X134" s="97"/>
      <c r="Y134" s="102" t="s">
        <v>1020</v>
      </c>
      <c r="Z134" s="102" t="s">
        <v>1021</v>
      </c>
    </row>
    <row r="135" spans="1:26" s="82" customFormat="1" ht="45" x14ac:dyDescent="0.25">
      <c r="A135" s="82" t="s">
        <v>1022</v>
      </c>
      <c r="B135" s="82" t="s">
        <v>1023</v>
      </c>
      <c r="C135" s="82" t="str">
        <f t="shared" si="4"/>
        <v>KC-130  - Kent County Theatre Guild</v>
      </c>
      <c r="D135" s="96" t="s">
        <v>1009</v>
      </c>
      <c r="E135" s="96" t="s">
        <v>29</v>
      </c>
      <c r="F135" s="97" t="s">
        <v>42</v>
      </c>
      <c r="G135" s="97"/>
      <c r="H135" s="96" t="s">
        <v>419</v>
      </c>
      <c r="I135" s="99" t="s">
        <v>1024</v>
      </c>
      <c r="J135" s="95">
        <v>16</v>
      </c>
      <c r="K135" s="95">
        <v>32</v>
      </c>
      <c r="L135" s="112">
        <v>39.143009999999997</v>
      </c>
      <c r="M135" s="112">
        <v>-75.51567</v>
      </c>
      <c r="N135" s="101" t="s">
        <v>1025</v>
      </c>
      <c r="O135" s="82" t="s">
        <v>35</v>
      </c>
      <c r="P135" s="82">
        <v>19901</v>
      </c>
      <c r="R135" s="82" t="s">
        <v>37</v>
      </c>
      <c r="T135" s="82" t="s">
        <v>38</v>
      </c>
      <c r="U135" s="97">
        <v>2019</v>
      </c>
      <c r="V135" s="98">
        <v>43741</v>
      </c>
      <c r="W135" s="97" t="s">
        <v>39</v>
      </c>
      <c r="X135" s="97"/>
      <c r="Y135" s="102" t="s">
        <v>1026</v>
      </c>
      <c r="Z135" s="102" t="s">
        <v>1027</v>
      </c>
    </row>
    <row r="136" spans="1:26" s="82" customFormat="1" ht="45" x14ac:dyDescent="0.25">
      <c r="A136" s="82" t="s">
        <v>1028</v>
      </c>
      <c r="B136" s="82" t="s">
        <v>1029</v>
      </c>
      <c r="C136" s="82" t="str">
        <f t="shared" si="4"/>
        <v>KC-131  - Delaware's Struggle for Women's Right to Vote</v>
      </c>
      <c r="D136" s="115" t="s">
        <v>1030</v>
      </c>
      <c r="E136" s="96" t="s">
        <v>29</v>
      </c>
      <c r="F136" s="97" t="s">
        <v>42</v>
      </c>
      <c r="G136" s="97" t="s">
        <v>931</v>
      </c>
      <c r="H136" s="96"/>
      <c r="I136" s="99" t="s">
        <v>1031</v>
      </c>
      <c r="J136" s="95">
        <v>17</v>
      </c>
      <c r="K136" s="95">
        <v>32</v>
      </c>
      <c r="L136" s="100" t="s">
        <v>1032</v>
      </c>
      <c r="M136" s="100" t="s">
        <v>1033</v>
      </c>
      <c r="N136" s="101" t="s">
        <v>1034</v>
      </c>
      <c r="O136" s="82" t="s">
        <v>35</v>
      </c>
      <c r="P136" s="82">
        <v>19901</v>
      </c>
      <c r="R136" s="82" t="s">
        <v>37</v>
      </c>
      <c r="S136" s="82" t="s">
        <v>1035</v>
      </c>
      <c r="T136" s="82" t="s">
        <v>38</v>
      </c>
      <c r="U136" s="97">
        <v>2020</v>
      </c>
      <c r="V136" s="98">
        <v>44062</v>
      </c>
      <c r="W136" s="97" t="s">
        <v>39</v>
      </c>
      <c r="X136" s="97"/>
      <c r="Y136" s="102" t="s">
        <v>1036</v>
      </c>
      <c r="Z136" s="102" t="s">
        <v>1037</v>
      </c>
    </row>
    <row r="137" spans="1:26" s="82" customFormat="1" ht="45" x14ac:dyDescent="0.25">
      <c r="A137" s="82" t="s">
        <v>1038</v>
      </c>
      <c r="B137" s="82" t="s">
        <v>1039</v>
      </c>
      <c r="C137" s="82" t="str">
        <f t="shared" si="4"/>
        <v>KC-132  - Site of Carlisle African Methodist Episcopal Church</v>
      </c>
      <c r="D137" s="96" t="s">
        <v>1040</v>
      </c>
      <c r="E137" s="96" t="s">
        <v>29</v>
      </c>
      <c r="F137" s="97" t="s">
        <v>191</v>
      </c>
      <c r="G137" s="97" t="s">
        <v>293</v>
      </c>
      <c r="H137" s="115" t="s">
        <v>1041</v>
      </c>
      <c r="I137" s="99" t="s">
        <v>1042</v>
      </c>
      <c r="J137" s="95">
        <v>17</v>
      </c>
      <c r="K137" s="95">
        <v>29</v>
      </c>
      <c r="L137" s="100" t="s">
        <v>1043</v>
      </c>
      <c r="M137" s="100" t="s">
        <v>1044</v>
      </c>
      <c r="N137" s="101" t="s">
        <v>1045</v>
      </c>
      <c r="O137" s="82" t="s">
        <v>35</v>
      </c>
      <c r="P137" s="82">
        <v>19904</v>
      </c>
      <c r="R137" s="82" t="s">
        <v>37</v>
      </c>
      <c r="S137" s="102"/>
      <c r="T137" s="82" t="s">
        <v>38</v>
      </c>
      <c r="U137" s="97">
        <v>2021</v>
      </c>
      <c r="V137" s="98">
        <v>44243</v>
      </c>
      <c r="W137" s="97" t="s">
        <v>39</v>
      </c>
      <c r="X137" s="97"/>
      <c r="Y137" s="102" t="s">
        <v>1046</v>
      </c>
      <c r="Z137" s="102" t="s">
        <v>1047</v>
      </c>
    </row>
    <row r="138" spans="1:26" ht="30" x14ac:dyDescent="0.25">
      <c r="A138" s="1" t="s">
        <v>1048</v>
      </c>
      <c r="B138" s="1" t="s">
        <v>1049</v>
      </c>
      <c r="C138" s="1" t="str">
        <f t="shared" si="4"/>
        <v>KC-133 - Brinkley Hill</v>
      </c>
      <c r="D138" s="21" t="s">
        <v>1050</v>
      </c>
      <c r="E138" s="21" t="s">
        <v>29</v>
      </c>
      <c r="F138" s="8" t="s">
        <v>30</v>
      </c>
      <c r="G138" s="8" t="s">
        <v>293</v>
      </c>
      <c r="I138" s="29" t="s">
        <v>1051</v>
      </c>
      <c r="J138" s="18">
        <v>17</v>
      </c>
      <c r="K138" s="18">
        <v>34</v>
      </c>
      <c r="L138" s="27" t="s">
        <v>1052</v>
      </c>
      <c r="M138" s="27" t="s">
        <v>1053</v>
      </c>
      <c r="N138" s="5" t="s">
        <v>467</v>
      </c>
      <c r="O138" s="3" t="s">
        <v>286</v>
      </c>
      <c r="P138" s="3">
        <v>19934</v>
      </c>
      <c r="Q138" s="3" t="s">
        <v>1054</v>
      </c>
      <c r="R138" s="3" t="s">
        <v>1055</v>
      </c>
      <c r="T138" s="3" t="s">
        <v>38</v>
      </c>
      <c r="U138" s="8">
        <v>2025</v>
      </c>
      <c r="V138" s="253">
        <v>45939</v>
      </c>
      <c r="W138" s="8" t="s">
        <v>39</v>
      </c>
      <c r="Y138" s="4"/>
      <c r="Z138" s="4"/>
    </row>
    <row r="139" spans="1:26" s="82" customFormat="1" ht="45" x14ac:dyDescent="0.25">
      <c r="A139" s="82" t="s">
        <v>1056</v>
      </c>
      <c r="B139" s="82" t="s">
        <v>1057</v>
      </c>
      <c r="C139" s="82" t="str">
        <f t="shared" si="4"/>
        <v>KC-134 - Banning Meeting House</v>
      </c>
      <c r="D139" s="96" t="s">
        <v>1058</v>
      </c>
      <c r="E139" s="96" t="s">
        <v>29</v>
      </c>
      <c r="F139" s="97" t="s">
        <v>191</v>
      </c>
      <c r="G139" s="97"/>
      <c r="H139" s="96" t="s">
        <v>837</v>
      </c>
      <c r="I139" s="163" t="s">
        <v>1059</v>
      </c>
      <c r="J139" s="95">
        <v>16</v>
      </c>
      <c r="K139" s="95">
        <v>32</v>
      </c>
      <c r="L139" s="100" t="s">
        <v>1060</v>
      </c>
      <c r="M139" s="100" t="s">
        <v>1061</v>
      </c>
      <c r="N139" s="101" t="s">
        <v>1062</v>
      </c>
      <c r="O139" s="82" t="s">
        <v>1063</v>
      </c>
      <c r="P139" s="82">
        <v>19934</v>
      </c>
      <c r="Q139" s="82" t="s">
        <v>1064</v>
      </c>
      <c r="R139" s="82" t="s">
        <v>1065</v>
      </c>
      <c r="T139" s="82" t="s">
        <v>38</v>
      </c>
      <c r="U139" s="97">
        <v>2024</v>
      </c>
      <c r="V139" s="98">
        <v>45594</v>
      </c>
      <c r="W139" s="97" t="s">
        <v>39</v>
      </c>
      <c r="X139" s="97"/>
      <c r="Y139" s="102" t="s">
        <v>1066</v>
      </c>
      <c r="Z139" s="102" t="s">
        <v>1067</v>
      </c>
    </row>
    <row r="140" spans="1:26" s="260" customFormat="1" ht="30" x14ac:dyDescent="0.25">
      <c r="A140" s="226" t="s">
        <v>1068</v>
      </c>
      <c r="B140" s="226" t="s">
        <v>1069</v>
      </c>
      <c r="C140" s="226" t="str">
        <f t="shared" si="4"/>
        <v>KC-135 - DSU Civilian Pilot Training Program</v>
      </c>
      <c r="D140" s="254"/>
      <c r="E140" s="254" t="s">
        <v>1070</v>
      </c>
      <c r="F140" s="255" t="s">
        <v>42</v>
      </c>
      <c r="G140" s="255"/>
      <c r="H140" s="254"/>
      <c r="I140" s="256"/>
      <c r="J140" s="257"/>
      <c r="K140" s="257"/>
      <c r="L140" s="258"/>
      <c r="M140" s="258"/>
      <c r="N140" s="259"/>
      <c r="R140" s="260" t="s">
        <v>37</v>
      </c>
      <c r="S140" s="260" t="s">
        <v>1070</v>
      </c>
      <c r="T140" s="260" t="s">
        <v>38</v>
      </c>
      <c r="U140" s="255"/>
      <c r="V140" s="255"/>
      <c r="W140" s="255" t="s">
        <v>39</v>
      </c>
      <c r="X140" s="255"/>
      <c r="Y140" s="261"/>
      <c r="Z140" s="261"/>
    </row>
    <row r="141" spans="1:26" x14ac:dyDescent="0.25">
      <c r="A141" s="7" t="s">
        <v>1071</v>
      </c>
      <c r="B141" s="7" t="s">
        <v>1072</v>
      </c>
      <c r="C141" s="7" t="str">
        <f t="shared" si="4"/>
        <v>KC-136 - Not assigned</v>
      </c>
      <c r="D141" s="21"/>
      <c r="E141" s="21" t="s">
        <v>66</v>
      </c>
      <c r="F141" s="8"/>
      <c r="G141" s="8"/>
      <c r="J141" s="18"/>
      <c r="L141" s="27"/>
      <c r="M141" s="27"/>
      <c r="N141" s="5"/>
      <c r="O141" s="3"/>
      <c r="R141" s="3" t="s">
        <v>37</v>
      </c>
      <c r="S141" s="3" t="s">
        <v>1070</v>
      </c>
      <c r="T141" s="3" t="s">
        <v>38</v>
      </c>
      <c r="U141" s="8"/>
      <c r="W141" s="8" t="s">
        <v>39</v>
      </c>
      <c r="Y141" s="4"/>
      <c r="Z141" s="4"/>
    </row>
    <row r="142" spans="1:26" s="82" customFormat="1" ht="60" x14ac:dyDescent="0.25">
      <c r="A142" s="82" t="s">
        <v>1073</v>
      </c>
      <c r="B142" s="82" t="s">
        <v>1074</v>
      </c>
      <c r="C142" s="82" t="str">
        <f t="shared" si="4"/>
        <v>KC-137 - Mt. Olive Holiness Pentecostal Church</v>
      </c>
      <c r="D142" s="96" t="s">
        <v>1075</v>
      </c>
      <c r="E142" s="96" t="s">
        <v>29</v>
      </c>
      <c r="F142" s="97" t="s">
        <v>191</v>
      </c>
      <c r="G142" s="97"/>
      <c r="H142" s="96" t="s">
        <v>1076</v>
      </c>
      <c r="I142" s="99" t="s">
        <v>1077</v>
      </c>
      <c r="J142" s="95">
        <v>14</v>
      </c>
      <c r="K142" s="95">
        <v>28</v>
      </c>
      <c r="L142" s="100" t="s">
        <v>1078</v>
      </c>
      <c r="M142" s="100" t="s">
        <v>1079</v>
      </c>
      <c r="N142" s="101" t="s">
        <v>1080</v>
      </c>
      <c r="O142" s="82" t="s">
        <v>54</v>
      </c>
      <c r="P142" s="82">
        <v>19977</v>
      </c>
      <c r="Q142" s="82" t="s">
        <v>1074</v>
      </c>
      <c r="R142" s="82" t="s">
        <v>1081</v>
      </c>
      <c r="T142" s="82" t="s">
        <v>38</v>
      </c>
      <c r="U142" s="97">
        <v>2024</v>
      </c>
      <c r="V142" s="98">
        <v>45608</v>
      </c>
      <c r="W142" s="97" t="s">
        <v>39</v>
      </c>
      <c r="X142" s="97"/>
      <c r="Y142" s="102" t="s">
        <v>1082</v>
      </c>
      <c r="Z142" s="102" t="s">
        <v>1083</v>
      </c>
    </row>
    <row r="143" spans="1:26" s="226" customFormat="1" ht="30" x14ac:dyDescent="0.25">
      <c r="A143" s="226" t="s">
        <v>1084</v>
      </c>
      <c r="B143" s="226" t="s">
        <v>1085</v>
      </c>
      <c r="C143" s="226" t="str">
        <f>Table1[[#This Row],[Marker Number]]&amp;" - "&amp;Table1[[#This Row],[Marker Name]]</f>
        <v>KC-138 - Woodburn, The Governor's House</v>
      </c>
      <c r="D143" s="227"/>
      <c r="E143" s="227" t="s">
        <v>1070</v>
      </c>
      <c r="F143" s="229"/>
      <c r="G143" s="230"/>
      <c r="H143" s="227"/>
      <c r="I143" s="231"/>
      <c r="J143" s="228"/>
      <c r="K143" s="228"/>
      <c r="L143" s="232"/>
      <c r="M143" s="232"/>
      <c r="N143" s="233"/>
      <c r="O143" s="225"/>
      <c r="P143" s="225"/>
      <c r="R143" s="226" t="s">
        <v>37</v>
      </c>
      <c r="S143" s="225"/>
      <c r="T143" s="225"/>
      <c r="U143" s="229"/>
      <c r="V143" s="229"/>
      <c r="W143" s="229"/>
      <c r="X143" s="229"/>
      <c r="Y143" s="234"/>
      <c r="Z143" s="234"/>
    </row>
    <row r="144" spans="1:26" s="82" customFormat="1" ht="45" x14ac:dyDescent="0.25">
      <c r="A144" s="82" t="s">
        <v>1086</v>
      </c>
      <c r="B144" s="82" t="s">
        <v>1087</v>
      </c>
      <c r="C144" s="82" t="str">
        <f t="shared" si="4"/>
        <v>KC-A1  - The Allee House</v>
      </c>
      <c r="D144" s="96" t="s">
        <v>1088</v>
      </c>
      <c r="E144" s="96" t="s">
        <v>346</v>
      </c>
      <c r="F144" s="97" t="s">
        <v>30</v>
      </c>
      <c r="G144" s="97"/>
      <c r="H144" s="96" t="s">
        <v>1089</v>
      </c>
      <c r="I144" s="99" t="s">
        <v>1090</v>
      </c>
      <c r="J144" s="95">
        <v>28</v>
      </c>
      <c r="K144" s="95">
        <v>14</v>
      </c>
      <c r="L144" s="112">
        <v>39.284660000000002</v>
      </c>
      <c r="M144" s="112">
        <v>-75.504570000000001</v>
      </c>
      <c r="N144" s="101" t="s">
        <v>1091</v>
      </c>
      <c r="O144" s="82" t="s">
        <v>54</v>
      </c>
      <c r="P144" s="82">
        <v>19977</v>
      </c>
      <c r="R144" s="82" t="s">
        <v>37</v>
      </c>
      <c r="T144" s="82" t="s">
        <v>1092</v>
      </c>
      <c r="U144" s="97">
        <v>1963</v>
      </c>
      <c r="V144" s="97">
        <v>1963</v>
      </c>
      <c r="W144" s="97" t="s">
        <v>66</v>
      </c>
      <c r="X144" s="97"/>
      <c r="Y144" s="103" t="s">
        <v>1093</v>
      </c>
      <c r="Z144" s="102" t="s">
        <v>1094</v>
      </c>
    </row>
    <row r="145" spans="1:26" s="82" customFormat="1" ht="45" x14ac:dyDescent="0.25">
      <c r="A145" s="82" t="s">
        <v>1095</v>
      </c>
      <c r="B145" s="82" t="s">
        <v>1096</v>
      </c>
      <c r="C145" s="82" t="str">
        <f t="shared" si="4"/>
        <v>KC-A10  - Woodburn</v>
      </c>
      <c r="D145" s="96" t="s">
        <v>1097</v>
      </c>
      <c r="E145" s="96" t="s">
        <v>29</v>
      </c>
      <c r="F145" s="97" t="s">
        <v>30</v>
      </c>
      <c r="G145" s="97"/>
      <c r="H145" s="96"/>
      <c r="I145" s="99" t="s">
        <v>248</v>
      </c>
      <c r="J145" s="95">
        <v>17</v>
      </c>
      <c r="K145" s="95">
        <v>31</v>
      </c>
      <c r="L145" s="112">
        <v>39.161369999999998</v>
      </c>
      <c r="M145" s="112">
        <v>-75.523070000000004</v>
      </c>
      <c r="N145" s="101" t="s">
        <v>1098</v>
      </c>
      <c r="O145" s="82" t="s">
        <v>35</v>
      </c>
      <c r="P145" s="82">
        <v>19901</v>
      </c>
      <c r="Q145" s="82" t="s">
        <v>1099</v>
      </c>
      <c r="R145" s="82" t="s">
        <v>37</v>
      </c>
      <c r="S145" s="99" t="s">
        <v>1100</v>
      </c>
      <c r="T145" s="82" t="s">
        <v>1092</v>
      </c>
      <c r="U145" s="97">
        <v>1940</v>
      </c>
      <c r="V145" s="97"/>
      <c r="W145" s="97"/>
      <c r="X145" s="97"/>
      <c r="Y145" s="102"/>
      <c r="Z145" s="102"/>
    </row>
    <row r="146" spans="1:26" s="82" customFormat="1" ht="45" x14ac:dyDescent="0.25">
      <c r="A146" s="82" t="s">
        <v>1101</v>
      </c>
      <c r="B146" s="82" t="s">
        <v>1102</v>
      </c>
      <c r="C146" s="82" t="s">
        <v>1103</v>
      </c>
      <c r="D146" s="96" t="s">
        <v>1104</v>
      </c>
      <c r="E146" s="96" t="s">
        <v>29</v>
      </c>
      <c r="F146" s="97" t="s">
        <v>191</v>
      </c>
      <c r="H146" s="96" t="s">
        <v>1105</v>
      </c>
      <c r="I146" s="99" t="s">
        <v>1106</v>
      </c>
      <c r="J146" s="95">
        <v>17</v>
      </c>
      <c r="K146" s="95">
        <v>31</v>
      </c>
      <c r="L146" s="112">
        <v>39.156089999999999</v>
      </c>
      <c r="M146" s="112">
        <v>-75.526579999999996</v>
      </c>
      <c r="N146" s="101" t="s">
        <v>1107</v>
      </c>
      <c r="O146" s="82" t="s">
        <v>35</v>
      </c>
      <c r="P146" s="82">
        <v>19904</v>
      </c>
      <c r="Q146" s="82" t="s">
        <v>1108</v>
      </c>
      <c r="R146" s="82" t="s">
        <v>1109</v>
      </c>
      <c r="S146" s="82" t="s">
        <v>1110</v>
      </c>
      <c r="T146" s="82" t="s">
        <v>1092</v>
      </c>
      <c r="U146" s="97">
        <v>1950</v>
      </c>
      <c r="V146" s="97"/>
      <c r="W146" s="97"/>
      <c r="X146" s="97"/>
      <c r="Y146" s="102" t="s">
        <v>1111</v>
      </c>
      <c r="Z146" s="102" t="s">
        <v>1112</v>
      </c>
    </row>
    <row r="147" spans="1:26" s="82" customFormat="1" ht="45" x14ac:dyDescent="0.25">
      <c r="A147" s="82" t="s">
        <v>1113</v>
      </c>
      <c r="B147" s="82" t="s">
        <v>1114</v>
      </c>
      <c r="C147" s="82" t="s">
        <v>1115</v>
      </c>
      <c r="D147" s="96" t="s">
        <v>1116</v>
      </c>
      <c r="E147" s="96" t="s">
        <v>130</v>
      </c>
      <c r="F147" s="97" t="s">
        <v>30</v>
      </c>
      <c r="H147" s="96" t="s">
        <v>410</v>
      </c>
      <c r="I147" s="99" t="s">
        <v>301</v>
      </c>
      <c r="J147" s="95">
        <v>17</v>
      </c>
      <c r="K147" s="95">
        <v>31</v>
      </c>
      <c r="L147" s="112">
        <v>39.155810000000002</v>
      </c>
      <c r="M147" s="112">
        <v>-75.523070000000004</v>
      </c>
      <c r="N147" s="101" t="s">
        <v>1117</v>
      </c>
      <c r="O147" s="82" t="s">
        <v>35</v>
      </c>
      <c r="P147" s="82">
        <v>19901</v>
      </c>
      <c r="R147" s="82" t="s">
        <v>37</v>
      </c>
      <c r="S147" s="82" t="s">
        <v>1118</v>
      </c>
      <c r="T147" s="82" t="s">
        <v>1092</v>
      </c>
      <c r="U147" s="97">
        <v>1983</v>
      </c>
      <c r="V147" s="97"/>
      <c r="W147" s="97"/>
      <c r="X147" s="97"/>
      <c r="Y147" s="102" t="s">
        <v>1119</v>
      </c>
      <c r="Z147" s="102" t="s">
        <v>1120</v>
      </c>
    </row>
    <row r="148" spans="1:26" s="82" customFormat="1" ht="45" x14ac:dyDescent="0.25">
      <c r="A148" s="82" t="s">
        <v>1121</v>
      </c>
      <c r="B148" s="82" t="s">
        <v>464</v>
      </c>
      <c r="C148" s="82" t="str">
        <f t="shared" ref="C148:C179" si="5">A148 &amp; " - " &amp; B148</f>
        <v>KC-A2  - Caesar Rodney</v>
      </c>
      <c r="D148" s="96" t="s">
        <v>1122</v>
      </c>
      <c r="E148" s="96" t="s">
        <v>130</v>
      </c>
      <c r="F148" s="97" t="s">
        <v>1123</v>
      </c>
      <c r="G148" s="97"/>
      <c r="H148" s="96" t="s">
        <v>400</v>
      </c>
      <c r="I148" s="99" t="s">
        <v>1124</v>
      </c>
      <c r="J148" s="95">
        <v>17</v>
      </c>
      <c r="K148" s="95">
        <v>32</v>
      </c>
      <c r="L148" s="100" t="s">
        <v>1125</v>
      </c>
      <c r="M148" s="100" t="s">
        <v>1126</v>
      </c>
      <c r="N148" s="101" t="s">
        <v>270</v>
      </c>
      <c r="O148" s="82" t="s">
        <v>35</v>
      </c>
      <c r="P148" s="82">
        <v>19901</v>
      </c>
      <c r="Q148" s="82" t="s">
        <v>1127</v>
      </c>
      <c r="R148" s="82" t="s">
        <v>37</v>
      </c>
      <c r="S148" s="82" t="s">
        <v>1128</v>
      </c>
      <c r="T148" s="82" t="s">
        <v>1092</v>
      </c>
      <c r="U148" s="97">
        <v>1932</v>
      </c>
      <c r="V148" s="97">
        <v>1932</v>
      </c>
      <c r="W148" s="97" t="s">
        <v>66</v>
      </c>
      <c r="X148" s="97" t="s">
        <v>1129</v>
      </c>
      <c r="Y148" s="102" t="s">
        <v>1130</v>
      </c>
      <c r="Z148" s="102" t="s">
        <v>1131</v>
      </c>
    </row>
    <row r="149" spans="1:26" s="82" customFormat="1" ht="51" x14ac:dyDescent="0.25">
      <c r="A149" s="82" t="s">
        <v>1132</v>
      </c>
      <c r="B149" s="82" t="s">
        <v>1133</v>
      </c>
      <c r="C149" s="82" t="str">
        <f t="shared" si="5"/>
        <v>KC-A3  - Nicholas Ridgely</v>
      </c>
      <c r="D149" s="96" t="s">
        <v>1134</v>
      </c>
      <c r="E149" s="96" t="s">
        <v>130</v>
      </c>
      <c r="F149" s="97" t="s">
        <v>62</v>
      </c>
      <c r="G149" s="97"/>
      <c r="H149" s="96"/>
      <c r="I149" s="99" t="s">
        <v>1124</v>
      </c>
      <c r="J149" s="95">
        <v>17</v>
      </c>
      <c r="K149" s="95">
        <v>32</v>
      </c>
      <c r="L149" s="100" t="s">
        <v>1125</v>
      </c>
      <c r="M149" s="100" t="s">
        <v>1126</v>
      </c>
      <c r="N149" s="101" t="s">
        <v>270</v>
      </c>
      <c r="O149" s="82" t="s">
        <v>35</v>
      </c>
      <c r="P149" s="82">
        <v>19901</v>
      </c>
      <c r="R149" s="82" t="s">
        <v>37</v>
      </c>
      <c r="S149" s="82" t="s">
        <v>1128</v>
      </c>
      <c r="T149" s="82" t="s">
        <v>1092</v>
      </c>
      <c r="U149" s="97">
        <v>1932</v>
      </c>
      <c r="V149" s="97">
        <v>1932</v>
      </c>
      <c r="W149" s="97" t="s">
        <v>66</v>
      </c>
      <c r="X149" s="97" t="s">
        <v>1129</v>
      </c>
      <c r="Y149" s="102" t="s">
        <v>1135</v>
      </c>
      <c r="Z149" s="102" t="s">
        <v>1136</v>
      </c>
    </row>
    <row r="150" spans="1:26" s="82" customFormat="1" ht="45" x14ac:dyDescent="0.25">
      <c r="A150" s="82" t="s">
        <v>1137</v>
      </c>
      <c r="B150" s="82" t="s">
        <v>1138</v>
      </c>
      <c r="C150" s="82" t="str">
        <f t="shared" si="5"/>
        <v>KC-A4  - Ridgely House</v>
      </c>
      <c r="D150" s="96" t="s">
        <v>1139</v>
      </c>
      <c r="E150" s="96" t="s">
        <v>130</v>
      </c>
      <c r="F150" s="97" t="s">
        <v>1140</v>
      </c>
      <c r="G150" s="97"/>
      <c r="H150" s="96" t="s">
        <v>1141</v>
      </c>
      <c r="I150" s="99" t="s">
        <v>1124</v>
      </c>
      <c r="J150" s="95">
        <v>17</v>
      </c>
      <c r="K150" s="95">
        <v>32</v>
      </c>
      <c r="L150" s="112">
        <v>39.156700000000001</v>
      </c>
      <c r="M150" s="112">
        <v>-75.523510000000002</v>
      </c>
      <c r="N150" s="101" t="s">
        <v>1142</v>
      </c>
      <c r="O150" s="82" t="s">
        <v>35</v>
      </c>
      <c r="P150" s="82">
        <v>19901</v>
      </c>
      <c r="R150" s="82" t="s">
        <v>37</v>
      </c>
      <c r="T150" s="82" t="s">
        <v>1092</v>
      </c>
      <c r="U150" s="97">
        <v>1933</v>
      </c>
      <c r="V150" s="97">
        <v>1933</v>
      </c>
      <c r="W150" s="97" t="s">
        <v>66</v>
      </c>
      <c r="X150" s="97"/>
      <c r="Y150" s="131" t="s">
        <v>1143</v>
      </c>
      <c r="Z150" s="102" t="s">
        <v>1144</v>
      </c>
    </row>
    <row r="151" spans="1:26" s="82" customFormat="1" ht="45" x14ac:dyDescent="0.25">
      <c r="A151" s="82" t="s">
        <v>1145</v>
      </c>
      <c r="B151" s="82" t="s">
        <v>1146</v>
      </c>
      <c r="C151" s="82" t="str">
        <f t="shared" si="5"/>
        <v>KC-A5  - Site of King George's Tavern</v>
      </c>
      <c r="D151" s="115" t="s">
        <v>1147</v>
      </c>
      <c r="E151" s="96" t="s">
        <v>29</v>
      </c>
      <c r="F151" s="97" t="s">
        <v>30</v>
      </c>
      <c r="G151" s="97"/>
      <c r="H151" s="96" t="s">
        <v>232</v>
      </c>
      <c r="I151" s="99" t="s">
        <v>1124</v>
      </c>
      <c r="J151" s="95">
        <v>17</v>
      </c>
      <c r="K151" s="95">
        <v>32</v>
      </c>
      <c r="L151" s="112">
        <v>39.155920000000002</v>
      </c>
      <c r="M151" s="112">
        <v>-75.523160000000004</v>
      </c>
      <c r="N151" s="101" t="s">
        <v>1148</v>
      </c>
      <c r="O151" s="82" t="s">
        <v>35</v>
      </c>
      <c r="P151" s="82">
        <v>19901</v>
      </c>
      <c r="R151" s="82" t="s">
        <v>37</v>
      </c>
      <c r="T151" s="82" t="s">
        <v>1092</v>
      </c>
      <c r="U151" s="97">
        <v>1933</v>
      </c>
      <c r="V151" s="97">
        <v>1932</v>
      </c>
      <c r="W151" s="97" t="s">
        <v>66</v>
      </c>
      <c r="X151" s="97"/>
      <c r="Y151" s="131" t="s">
        <v>1149</v>
      </c>
      <c r="Z151" s="102" t="s">
        <v>1150</v>
      </c>
    </row>
    <row r="152" spans="1:26" s="82" customFormat="1" ht="63.75" x14ac:dyDescent="0.25">
      <c r="A152" s="82" t="s">
        <v>1151</v>
      </c>
      <c r="B152" s="82" t="s">
        <v>1152</v>
      </c>
      <c r="C152" s="82" t="str">
        <f t="shared" si="5"/>
        <v>KC-A6  - State House</v>
      </c>
      <c r="D152" s="115" t="s">
        <v>1153</v>
      </c>
      <c r="E152" s="96" t="s">
        <v>130</v>
      </c>
      <c r="F152" s="97" t="s">
        <v>30</v>
      </c>
      <c r="G152" s="97" t="s">
        <v>1154</v>
      </c>
      <c r="H152" s="96" t="s">
        <v>247</v>
      </c>
      <c r="I152" s="99" t="s">
        <v>1155</v>
      </c>
      <c r="J152" s="95">
        <v>17</v>
      </c>
      <c r="K152" s="95">
        <v>32</v>
      </c>
      <c r="L152" s="112">
        <v>39.156390000000002</v>
      </c>
      <c r="M152" s="112">
        <v>-75.523179999999996</v>
      </c>
      <c r="N152" s="101" t="s">
        <v>1034</v>
      </c>
      <c r="O152" s="82" t="s">
        <v>35</v>
      </c>
      <c r="P152" s="82">
        <v>19901</v>
      </c>
      <c r="R152" s="82" t="s">
        <v>37</v>
      </c>
      <c r="T152" s="82" t="s">
        <v>1092</v>
      </c>
      <c r="U152" s="97">
        <v>1976</v>
      </c>
      <c r="V152" s="97">
        <v>1976</v>
      </c>
      <c r="W152" s="97" t="s">
        <v>66</v>
      </c>
      <c r="X152" s="97"/>
      <c r="Y152" s="165" t="s">
        <v>1156</v>
      </c>
      <c r="Z152" s="102" t="s">
        <v>1157</v>
      </c>
    </row>
    <row r="153" spans="1:26" s="82" customFormat="1" ht="45" x14ac:dyDescent="0.25">
      <c r="A153" s="82" t="s">
        <v>1158</v>
      </c>
      <c r="B153" s="82" t="s">
        <v>889</v>
      </c>
      <c r="C153" s="82" t="str">
        <f t="shared" si="5"/>
        <v>KC-A7  - Colonel John Haslet</v>
      </c>
      <c r="D153" s="96" t="s">
        <v>727</v>
      </c>
      <c r="E153" s="96" t="s">
        <v>346</v>
      </c>
      <c r="F153" s="97" t="s">
        <v>62</v>
      </c>
      <c r="G153" s="97"/>
      <c r="H153" s="96" t="s">
        <v>442</v>
      </c>
      <c r="I153" s="99" t="s">
        <v>1124</v>
      </c>
      <c r="J153" s="95">
        <v>17</v>
      </c>
      <c r="K153" s="95">
        <v>31</v>
      </c>
      <c r="L153" s="100" t="s">
        <v>1159</v>
      </c>
      <c r="M153" s="100" t="s">
        <v>1160</v>
      </c>
      <c r="N153" s="101" t="s">
        <v>1161</v>
      </c>
      <c r="O153" s="82" t="s">
        <v>35</v>
      </c>
      <c r="P153" s="82">
        <v>19904</v>
      </c>
      <c r="Q153" s="82" t="s">
        <v>1108</v>
      </c>
      <c r="R153" s="82" t="s">
        <v>1109</v>
      </c>
      <c r="S153" s="82" t="s">
        <v>1162</v>
      </c>
      <c r="T153" s="82" t="s">
        <v>1092</v>
      </c>
      <c r="U153" s="97">
        <v>1932</v>
      </c>
      <c r="V153" s="97">
        <v>1932</v>
      </c>
      <c r="W153" s="97" t="s">
        <v>593</v>
      </c>
      <c r="X153" s="97"/>
      <c r="Y153" s="102" t="s">
        <v>1163</v>
      </c>
      <c r="Z153" s="102" t="s">
        <v>1164</v>
      </c>
    </row>
    <row r="154" spans="1:26" s="82" customFormat="1" ht="45" x14ac:dyDescent="0.25">
      <c r="A154" s="82" t="s">
        <v>1165</v>
      </c>
      <c r="B154" s="82" t="s">
        <v>1166</v>
      </c>
      <c r="C154" s="82" t="str">
        <f t="shared" si="5"/>
        <v>KC-A8  - John M. Clayton</v>
      </c>
      <c r="D154" s="96" t="s">
        <v>1167</v>
      </c>
      <c r="E154" s="96" t="s">
        <v>346</v>
      </c>
      <c r="F154" s="97" t="s">
        <v>62</v>
      </c>
      <c r="G154" s="97"/>
      <c r="H154" s="96" t="s">
        <v>1168</v>
      </c>
      <c r="I154" s="99" t="s">
        <v>1124</v>
      </c>
      <c r="J154" s="95">
        <v>17</v>
      </c>
      <c r="K154" s="95">
        <v>31</v>
      </c>
      <c r="L154" s="112">
        <v>39.156120000000001</v>
      </c>
      <c r="M154" s="112">
        <v>-75.526570000000007</v>
      </c>
      <c r="N154" s="101" t="s">
        <v>1161</v>
      </c>
      <c r="O154" s="82" t="s">
        <v>35</v>
      </c>
      <c r="P154" s="82">
        <v>19904</v>
      </c>
      <c r="Q154" s="82" t="s">
        <v>1108</v>
      </c>
      <c r="R154" s="82" t="s">
        <v>1109</v>
      </c>
      <c r="S154" s="82" t="s">
        <v>1169</v>
      </c>
      <c r="T154" s="82" t="s">
        <v>1092</v>
      </c>
      <c r="U154" s="97">
        <v>1932</v>
      </c>
      <c r="V154" s="97">
        <v>1932</v>
      </c>
      <c r="W154" s="97" t="s">
        <v>593</v>
      </c>
      <c r="X154" s="97"/>
      <c r="Y154" s="102" t="s">
        <v>1170</v>
      </c>
      <c r="Z154" s="102" t="s">
        <v>1171</v>
      </c>
    </row>
    <row r="155" spans="1:26" s="82" customFormat="1" ht="45" x14ac:dyDescent="0.25">
      <c r="A155" s="82" t="s">
        <v>1172</v>
      </c>
      <c r="B155" s="82" t="s">
        <v>1173</v>
      </c>
      <c r="C155" s="82" t="str">
        <f t="shared" si="5"/>
        <v>KC-A9  - Dover Light Infantry</v>
      </c>
      <c r="D155" s="96" t="s">
        <v>1174</v>
      </c>
      <c r="E155" s="96" t="s">
        <v>29</v>
      </c>
      <c r="F155" s="97" t="s">
        <v>1175</v>
      </c>
      <c r="G155" s="97"/>
      <c r="H155" s="96" t="s">
        <v>530</v>
      </c>
      <c r="I155" s="99" t="s">
        <v>248</v>
      </c>
      <c r="J155" s="95">
        <v>17</v>
      </c>
      <c r="K155" s="95">
        <v>32</v>
      </c>
      <c r="L155" s="112">
        <v>39.157730000000001</v>
      </c>
      <c r="M155" s="112">
        <v>-75.519289999999998</v>
      </c>
      <c r="N155" s="101" t="s">
        <v>1176</v>
      </c>
      <c r="O155" s="82" t="s">
        <v>35</v>
      </c>
      <c r="P155" s="82">
        <v>19901</v>
      </c>
      <c r="R155" s="82" t="s">
        <v>37</v>
      </c>
      <c r="T155" s="82" t="s">
        <v>1092</v>
      </c>
      <c r="U155" s="97">
        <v>2008</v>
      </c>
      <c r="V155" s="97">
        <v>2008</v>
      </c>
      <c r="W155" s="97" t="s">
        <v>66</v>
      </c>
      <c r="X155" s="97"/>
      <c r="Y155" s="102" t="s">
        <v>1177</v>
      </c>
      <c r="Z155" s="102" t="s">
        <v>1178</v>
      </c>
    </row>
    <row r="156" spans="1:26" x14ac:dyDescent="0.25">
      <c r="A156" s="104" t="s">
        <v>1179</v>
      </c>
      <c r="B156" s="104" t="s">
        <v>1180</v>
      </c>
      <c r="C156" s="104" t="str">
        <f t="shared" si="5"/>
        <v>NCC-001  - Block House</v>
      </c>
      <c r="D156" s="106" t="s">
        <v>71</v>
      </c>
      <c r="E156" s="106" t="s">
        <v>71</v>
      </c>
      <c r="F156" s="107" t="s">
        <v>30</v>
      </c>
      <c r="G156" s="107"/>
      <c r="H156" s="106"/>
      <c r="I156" s="108" t="s">
        <v>1181</v>
      </c>
      <c r="J156" s="105">
        <v>5</v>
      </c>
      <c r="K156" s="105">
        <v>7</v>
      </c>
      <c r="L156" s="109">
        <v>39.810293000000001</v>
      </c>
      <c r="M156" s="109">
        <v>-75.441602000000003</v>
      </c>
      <c r="N156" s="110" t="s">
        <v>1182</v>
      </c>
      <c r="O156" s="104" t="s">
        <v>1183</v>
      </c>
      <c r="P156" s="104">
        <v>19703</v>
      </c>
      <c r="Q156" s="104"/>
      <c r="R156" s="104" t="s">
        <v>37</v>
      </c>
      <c r="S156" s="104"/>
      <c r="T156" s="104" t="s">
        <v>56</v>
      </c>
      <c r="U156" s="107">
        <v>1932</v>
      </c>
      <c r="V156" s="107">
        <v>1932</v>
      </c>
      <c r="W156" s="107" t="s">
        <v>66</v>
      </c>
      <c r="X156" s="107"/>
      <c r="Y156" s="111"/>
      <c r="Z156" s="111"/>
    </row>
    <row r="157" spans="1:26" s="104" customFormat="1" ht="30" x14ac:dyDescent="0.25">
      <c r="A157" s="149" t="s">
        <v>1184</v>
      </c>
      <c r="B157" s="149" t="s">
        <v>1185</v>
      </c>
      <c r="C157" s="149" t="str">
        <f t="shared" si="5"/>
        <v>NCC-002  - Robinson House</v>
      </c>
      <c r="D157" s="151" t="s">
        <v>1186</v>
      </c>
      <c r="E157" s="151" t="s">
        <v>66</v>
      </c>
      <c r="F157" s="152" t="s">
        <v>30</v>
      </c>
      <c r="G157" s="152"/>
      <c r="H157" s="151"/>
      <c r="I157" s="153" t="s">
        <v>1181</v>
      </c>
      <c r="J157" s="150">
        <v>5</v>
      </c>
      <c r="K157" s="150">
        <v>7</v>
      </c>
      <c r="L157" s="154" t="s">
        <v>1187</v>
      </c>
      <c r="M157" s="154" t="s">
        <v>1188</v>
      </c>
      <c r="N157" s="156" t="s">
        <v>1182</v>
      </c>
      <c r="O157" s="149" t="s">
        <v>1183</v>
      </c>
      <c r="P157" s="149">
        <v>19703</v>
      </c>
      <c r="Q157" s="149"/>
      <c r="R157" s="149" t="s">
        <v>37</v>
      </c>
      <c r="S157" s="149" t="s">
        <v>1189</v>
      </c>
      <c r="T157" s="149" t="s">
        <v>56</v>
      </c>
      <c r="U157" s="152">
        <v>1932</v>
      </c>
      <c r="V157" s="152">
        <v>1932</v>
      </c>
      <c r="W157" s="152" t="s">
        <v>66</v>
      </c>
      <c r="X157" s="152"/>
      <c r="Y157" s="155"/>
      <c r="Z157" s="155"/>
    </row>
    <row r="158" spans="1:26" s="149" customFormat="1" x14ac:dyDescent="0.25">
      <c r="A158" s="104" t="s">
        <v>1190</v>
      </c>
      <c r="B158" s="104" t="s">
        <v>1191</v>
      </c>
      <c r="C158" s="104" t="str">
        <f t="shared" si="5"/>
        <v>NCC-003  - Naaman's Creek</v>
      </c>
      <c r="D158" s="106" t="s">
        <v>71</v>
      </c>
      <c r="E158" s="106" t="s">
        <v>71</v>
      </c>
      <c r="F158" s="107" t="s">
        <v>30</v>
      </c>
      <c r="G158" s="107"/>
      <c r="H158" s="106"/>
      <c r="I158" s="108" t="s">
        <v>1181</v>
      </c>
      <c r="J158" s="105">
        <v>5</v>
      </c>
      <c r="K158" s="105">
        <v>7</v>
      </c>
      <c r="L158" s="143" t="s">
        <v>1192</v>
      </c>
      <c r="M158" s="143" t="s">
        <v>1193</v>
      </c>
      <c r="N158" s="110" t="s">
        <v>1194</v>
      </c>
      <c r="O158" s="104" t="s">
        <v>1183</v>
      </c>
      <c r="P158" s="104">
        <v>19703</v>
      </c>
      <c r="Q158" s="104"/>
      <c r="R158" s="104" t="s">
        <v>37</v>
      </c>
      <c r="S158" s="104"/>
      <c r="T158" s="104" t="s">
        <v>56</v>
      </c>
      <c r="U158" s="107">
        <v>1933</v>
      </c>
      <c r="V158" s="107">
        <v>1933</v>
      </c>
      <c r="W158" s="107" t="s">
        <v>66</v>
      </c>
      <c r="X158" s="107"/>
      <c r="Y158" s="111"/>
      <c r="Z158" s="111"/>
    </row>
    <row r="159" spans="1:26" s="104" customFormat="1" ht="30" x14ac:dyDescent="0.25">
      <c r="A159" s="104" t="s">
        <v>1195</v>
      </c>
      <c r="B159" s="104" t="s">
        <v>1196</v>
      </c>
      <c r="C159" s="104" t="str">
        <f t="shared" si="5"/>
        <v>NCC-004  - Naaman's Bridge</v>
      </c>
      <c r="D159" s="106" t="s">
        <v>71</v>
      </c>
      <c r="E159" s="106" t="s">
        <v>71</v>
      </c>
      <c r="F159" s="107" t="s">
        <v>30</v>
      </c>
      <c r="G159" s="107"/>
      <c r="H159" s="106"/>
      <c r="I159" s="108" t="s">
        <v>1181</v>
      </c>
      <c r="J159" s="105">
        <v>5</v>
      </c>
      <c r="K159" s="105">
        <v>7</v>
      </c>
      <c r="L159" s="143" t="s">
        <v>1197</v>
      </c>
      <c r="M159" s="143" t="s">
        <v>1198</v>
      </c>
      <c r="N159" s="110" t="s">
        <v>1199</v>
      </c>
      <c r="O159" s="110" t="s">
        <v>1183</v>
      </c>
      <c r="P159" s="104">
        <v>19703</v>
      </c>
      <c r="R159" s="104" t="s">
        <v>37</v>
      </c>
      <c r="T159" s="104" t="s">
        <v>56</v>
      </c>
      <c r="U159" s="107">
        <v>1933</v>
      </c>
      <c r="V159" s="107">
        <v>1933</v>
      </c>
      <c r="W159" s="107" t="s">
        <v>66</v>
      </c>
      <c r="X159" s="107"/>
      <c r="Y159" s="111"/>
      <c r="Z159" s="111"/>
    </row>
    <row r="160" spans="1:26" s="104" customFormat="1" ht="45" x14ac:dyDescent="0.25">
      <c r="A160" s="82" t="s">
        <v>1200</v>
      </c>
      <c r="B160" s="82" t="s">
        <v>1201</v>
      </c>
      <c r="C160" s="82" t="str">
        <f t="shared" si="5"/>
        <v>NCC-005  - Newark Union</v>
      </c>
      <c r="D160" s="96" t="s">
        <v>1202</v>
      </c>
      <c r="E160" s="96" t="s">
        <v>130</v>
      </c>
      <c r="F160" s="97" t="s">
        <v>191</v>
      </c>
      <c r="G160" s="97"/>
      <c r="H160" s="96" t="s">
        <v>1203</v>
      </c>
      <c r="I160" s="99" t="s">
        <v>1181</v>
      </c>
      <c r="J160" s="95">
        <v>1</v>
      </c>
      <c r="K160" s="95">
        <v>6</v>
      </c>
      <c r="L160" s="112">
        <v>39.78454</v>
      </c>
      <c r="M160" s="112">
        <v>-75.513339999999999</v>
      </c>
      <c r="N160" s="101" t="s">
        <v>1204</v>
      </c>
      <c r="O160" s="82" t="s">
        <v>1205</v>
      </c>
      <c r="P160" s="82">
        <v>19803</v>
      </c>
      <c r="Q160" s="82"/>
      <c r="R160" s="82" t="s">
        <v>1206</v>
      </c>
      <c r="S160" s="82" t="s">
        <v>1207</v>
      </c>
      <c r="T160" s="82" t="s">
        <v>56</v>
      </c>
      <c r="U160" s="97">
        <v>1933</v>
      </c>
      <c r="V160" s="97">
        <v>1933</v>
      </c>
      <c r="W160" s="97" t="s">
        <v>66</v>
      </c>
      <c r="X160" s="97"/>
      <c r="Y160" s="102" t="s">
        <v>1208</v>
      </c>
      <c r="Z160" s="102" t="s">
        <v>1209</v>
      </c>
    </row>
    <row r="161" spans="1:26" s="82" customFormat="1" ht="69" customHeight="1" x14ac:dyDescent="0.25">
      <c r="A161" s="82" t="s">
        <v>1210</v>
      </c>
      <c r="B161" s="82" t="s">
        <v>1211</v>
      </c>
      <c r="C161" s="82" t="str">
        <f t="shared" si="5"/>
        <v>NCC-006  - Gunning Bedford Jr</v>
      </c>
      <c r="D161" s="96" t="s">
        <v>1212</v>
      </c>
      <c r="E161" s="96" t="s">
        <v>130</v>
      </c>
      <c r="F161" s="97" t="s">
        <v>62</v>
      </c>
      <c r="G161" s="97"/>
      <c r="H161" s="96"/>
      <c r="I161" s="99" t="s">
        <v>1181</v>
      </c>
      <c r="J161" s="95">
        <v>4</v>
      </c>
      <c r="K161" s="95">
        <v>6</v>
      </c>
      <c r="L161" s="100" t="s">
        <v>1213</v>
      </c>
      <c r="M161" s="100" t="s">
        <v>1214</v>
      </c>
      <c r="N161" s="101" t="s">
        <v>1215</v>
      </c>
      <c r="O161" s="82" t="s">
        <v>1205</v>
      </c>
      <c r="P161" s="82">
        <v>19803</v>
      </c>
      <c r="R161" s="82" t="s">
        <v>37</v>
      </c>
      <c r="S161" s="82" t="s">
        <v>369</v>
      </c>
      <c r="T161" s="82" t="s">
        <v>56</v>
      </c>
      <c r="U161" s="97">
        <v>1933</v>
      </c>
      <c r="V161" s="97">
        <v>1933</v>
      </c>
      <c r="W161" s="97" t="s">
        <v>66</v>
      </c>
      <c r="X161" s="97"/>
      <c r="Y161" s="102" t="s">
        <v>1216</v>
      </c>
      <c r="Z161" s="102" t="s">
        <v>1217</v>
      </c>
    </row>
    <row r="162" spans="1:26" s="82" customFormat="1" ht="45" x14ac:dyDescent="0.25">
      <c r="A162" s="82" t="s">
        <v>1218</v>
      </c>
      <c r="B162" s="82" t="s">
        <v>1219</v>
      </c>
      <c r="C162" s="82" t="str">
        <f t="shared" si="5"/>
        <v>NCC-007  - Encampment of Continental Troops 1777</v>
      </c>
      <c r="D162" s="96" t="s">
        <v>1220</v>
      </c>
      <c r="E162" s="96" t="s">
        <v>29</v>
      </c>
      <c r="F162" s="97" t="s">
        <v>30</v>
      </c>
      <c r="G162" s="97" t="s">
        <v>1154</v>
      </c>
      <c r="H162" s="96" t="s">
        <v>1221</v>
      </c>
      <c r="I162" s="99" t="s">
        <v>1222</v>
      </c>
      <c r="J162" s="95">
        <v>1</v>
      </c>
      <c r="K162" s="95">
        <v>1</v>
      </c>
      <c r="L162" s="100" t="s">
        <v>1223</v>
      </c>
      <c r="M162" s="100" t="s">
        <v>1224</v>
      </c>
      <c r="N162" s="101" t="s">
        <v>1225</v>
      </c>
      <c r="O162" s="82" t="s">
        <v>1226</v>
      </c>
      <c r="P162" s="82">
        <v>19801</v>
      </c>
      <c r="R162" s="82" t="s">
        <v>1227</v>
      </c>
      <c r="S162" s="82" t="s">
        <v>1228</v>
      </c>
      <c r="T162" s="82" t="s">
        <v>38</v>
      </c>
      <c r="U162" s="97" t="s">
        <v>1229</v>
      </c>
      <c r="V162" s="97">
        <v>1932</v>
      </c>
      <c r="W162" s="97" t="s">
        <v>39</v>
      </c>
      <c r="X162" s="97">
        <v>2023</v>
      </c>
      <c r="Y162" s="114" t="s">
        <v>1230</v>
      </c>
      <c r="Z162" s="114" t="s">
        <v>1231</v>
      </c>
    </row>
    <row r="163" spans="1:26" s="82" customFormat="1" ht="60" x14ac:dyDescent="0.25">
      <c r="A163" s="82" t="s">
        <v>1232</v>
      </c>
      <c r="B163" s="82" t="s">
        <v>1233</v>
      </c>
      <c r="C163" s="82" t="str">
        <f t="shared" si="5"/>
        <v>NCC-008  - Old Swedes Church</v>
      </c>
      <c r="D163" s="96" t="s">
        <v>1234</v>
      </c>
      <c r="E163" s="96" t="s">
        <v>29</v>
      </c>
      <c r="F163" s="97" t="s">
        <v>191</v>
      </c>
      <c r="G163" s="97"/>
      <c r="H163" s="96"/>
      <c r="I163" s="99" t="s">
        <v>1181</v>
      </c>
      <c r="J163" s="95">
        <v>2</v>
      </c>
      <c r="K163" s="95">
        <v>25</v>
      </c>
      <c r="L163" s="100" t="s">
        <v>1235</v>
      </c>
      <c r="M163" s="100" t="s">
        <v>1236</v>
      </c>
      <c r="N163" s="101" t="s">
        <v>1237</v>
      </c>
      <c r="O163" s="82" t="s">
        <v>1205</v>
      </c>
      <c r="P163" s="82">
        <v>19801</v>
      </c>
      <c r="R163" s="82" t="s">
        <v>1238</v>
      </c>
      <c r="S163" s="82" t="s">
        <v>1239</v>
      </c>
      <c r="T163" s="82" t="s">
        <v>56</v>
      </c>
      <c r="U163" s="97">
        <v>1932</v>
      </c>
      <c r="V163" s="97">
        <v>1932</v>
      </c>
      <c r="W163" s="97" t="s">
        <v>66</v>
      </c>
      <c r="X163" s="97">
        <v>2024</v>
      </c>
      <c r="Y163" s="102"/>
      <c r="Z163" s="102"/>
    </row>
    <row r="164" spans="1:26" s="82" customFormat="1" ht="30" x14ac:dyDescent="0.25">
      <c r="A164" s="149" t="s">
        <v>1240</v>
      </c>
      <c r="B164" s="149" t="s">
        <v>1241</v>
      </c>
      <c r="C164" s="149" t="str">
        <f t="shared" si="5"/>
        <v>NCC-009  - The Rocks</v>
      </c>
      <c r="D164" s="151" t="s">
        <v>1242</v>
      </c>
      <c r="E164" s="151" t="s">
        <v>66</v>
      </c>
      <c r="F164" s="152" t="s">
        <v>30</v>
      </c>
      <c r="G164" s="152"/>
      <c r="H164" s="151"/>
      <c r="I164" s="153" t="s">
        <v>1181</v>
      </c>
      <c r="J164" s="150">
        <v>2</v>
      </c>
      <c r="K164" s="150">
        <v>2</v>
      </c>
      <c r="L164" s="154" t="s">
        <v>1243</v>
      </c>
      <c r="M164" s="154" t="s">
        <v>1244</v>
      </c>
      <c r="N164" s="156" t="s">
        <v>1245</v>
      </c>
      <c r="O164" s="149" t="s">
        <v>1205</v>
      </c>
      <c r="P164" s="149">
        <v>19802</v>
      </c>
      <c r="Q164" s="149"/>
      <c r="R164" s="149" t="s">
        <v>37</v>
      </c>
      <c r="S164" s="149" t="s">
        <v>1246</v>
      </c>
      <c r="T164" s="149" t="s">
        <v>56</v>
      </c>
      <c r="U164" s="152">
        <v>1932</v>
      </c>
      <c r="V164" s="152">
        <v>1932</v>
      </c>
      <c r="W164" s="152" t="s">
        <v>66</v>
      </c>
      <c r="X164" s="152"/>
      <c r="Y164" s="155"/>
      <c r="Z164" s="155"/>
    </row>
    <row r="165" spans="1:26" s="149" customFormat="1" ht="30" x14ac:dyDescent="0.25">
      <c r="A165" s="104" t="s">
        <v>1247</v>
      </c>
      <c r="B165" s="104" t="s">
        <v>1248</v>
      </c>
      <c r="C165" s="104" t="str">
        <f t="shared" si="5"/>
        <v>NCC-010  - Eden Park (Formerly Monckton Park)</v>
      </c>
      <c r="D165" s="106" t="s">
        <v>1249</v>
      </c>
      <c r="E165" s="106" t="s">
        <v>71</v>
      </c>
      <c r="F165" s="107" t="s">
        <v>30</v>
      </c>
      <c r="G165" s="107"/>
      <c r="H165" s="116" t="s">
        <v>1250</v>
      </c>
      <c r="I165" s="108" t="s">
        <v>1181</v>
      </c>
      <c r="J165" s="105">
        <v>2</v>
      </c>
      <c r="K165" s="105">
        <v>16</v>
      </c>
      <c r="L165" s="142" t="s">
        <v>1251</v>
      </c>
      <c r="M165" s="109">
        <v>-75.544529999999995</v>
      </c>
      <c r="N165" s="110" t="s">
        <v>1252</v>
      </c>
      <c r="O165" s="104" t="s">
        <v>1205</v>
      </c>
      <c r="P165" s="104">
        <v>19801</v>
      </c>
      <c r="Q165" s="104"/>
      <c r="R165" s="104" t="s">
        <v>37</v>
      </c>
      <c r="S165" s="104"/>
      <c r="T165" s="104" t="s">
        <v>56</v>
      </c>
      <c r="U165" s="107">
        <v>1932</v>
      </c>
      <c r="V165" s="107">
        <v>1932</v>
      </c>
      <c r="W165" s="107" t="s">
        <v>66</v>
      </c>
      <c r="X165" s="107"/>
      <c r="Y165" s="111"/>
      <c r="Z165" s="111"/>
    </row>
    <row r="166" spans="1:26" s="104" customFormat="1" ht="30" x14ac:dyDescent="0.25">
      <c r="A166" s="149" t="s">
        <v>1253</v>
      </c>
      <c r="B166" s="149" t="s">
        <v>1254</v>
      </c>
      <c r="C166" s="149" t="str">
        <f t="shared" si="5"/>
        <v>NCC-011  - Site of Crane Hook Church</v>
      </c>
      <c r="D166" s="151" t="s">
        <v>1255</v>
      </c>
      <c r="E166" s="151" t="s">
        <v>66</v>
      </c>
      <c r="F166" s="152" t="s">
        <v>191</v>
      </c>
      <c r="G166" s="152"/>
      <c r="H166" s="151"/>
      <c r="I166" s="153" t="s">
        <v>1181</v>
      </c>
      <c r="J166" s="150">
        <v>2</v>
      </c>
      <c r="K166" s="150">
        <v>16</v>
      </c>
      <c r="L166" s="158">
        <v>39.705959999999997</v>
      </c>
      <c r="M166" s="154" t="s">
        <v>1256</v>
      </c>
      <c r="N166" s="156" t="s">
        <v>1257</v>
      </c>
      <c r="O166" s="149" t="s">
        <v>1205</v>
      </c>
      <c r="P166" s="149">
        <v>19720</v>
      </c>
      <c r="Q166" s="149"/>
      <c r="R166" s="149" t="s">
        <v>37</v>
      </c>
      <c r="S166" s="149" t="s">
        <v>1258</v>
      </c>
      <c r="T166" s="149" t="s">
        <v>56</v>
      </c>
      <c r="U166" s="152">
        <v>1932</v>
      </c>
      <c r="V166" s="152">
        <v>1932</v>
      </c>
      <c r="W166" s="152" t="s">
        <v>66</v>
      </c>
      <c r="X166" s="152">
        <v>1959</v>
      </c>
      <c r="Y166" s="155"/>
      <c r="Z166" s="155"/>
    </row>
    <row r="167" spans="1:26" s="149" customFormat="1" ht="30" x14ac:dyDescent="0.25">
      <c r="A167" s="149" t="s">
        <v>1259</v>
      </c>
      <c r="B167" s="149" t="s">
        <v>1260</v>
      </c>
      <c r="C167" s="149" t="str">
        <f t="shared" si="5"/>
        <v>NCC-012  - Long Hook Farm</v>
      </c>
      <c r="D167" s="151" t="s">
        <v>1261</v>
      </c>
      <c r="E167" s="151" t="s">
        <v>66</v>
      </c>
      <c r="F167" s="152" t="s">
        <v>30</v>
      </c>
      <c r="G167" s="152"/>
      <c r="H167" s="157" t="s">
        <v>1250</v>
      </c>
      <c r="I167" s="153" t="s">
        <v>1181</v>
      </c>
      <c r="J167" s="150"/>
      <c r="K167" s="150"/>
      <c r="L167" s="154"/>
      <c r="M167" s="154"/>
      <c r="N167" s="156"/>
      <c r="R167" s="149" t="s">
        <v>37</v>
      </c>
      <c r="S167" s="149" t="s">
        <v>1262</v>
      </c>
      <c r="T167" s="149" t="s">
        <v>56</v>
      </c>
      <c r="U167" s="152">
        <v>1932</v>
      </c>
      <c r="V167" s="152">
        <v>1932</v>
      </c>
      <c r="W167" s="152" t="s">
        <v>66</v>
      </c>
      <c r="X167" s="152"/>
      <c r="Y167" s="155"/>
      <c r="Z167" s="155"/>
    </row>
    <row r="168" spans="1:26" s="149" customFormat="1" ht="63.75" x14ac:dyDescent="0.25">
      <c r="A168" s="82" t="s">
        <v>1263</v>
      </c>
      <c r="B168" s="82" t="s">
        <v>1264</v>
      </c>
      <c r="C168" s="82" t="str">
        <f t="shared" si="5"/>
        <v>NCC-013  - New Castle Common</v>
      </c>
      <c r="D168" s="96" t="s">
        <v>1265</v>
      </c>
      <c r="E168" s="96" t="s">
        <v>29</v>
      </c>
      <c r="F168" s="97" t="s">
        <v>30</v>
      </c>
      <c r="G168" s="97"/>
      <c r="H168" s="115" t="s">
        <v>1266</v>
      </c>
      <c r="I168" s="99" t="s">
        <v>1181</v>
      </c>
      <c r="J168" s="95">
        <v>12</v>
      </c>
      <c r="K168" s="95">
        <v>16</v>
      </c>
      <c r="L168" s="112">
        <v>39.659790000000001</v>
      </c>
      <c r="M168" s="112">
        <v>-75.562950000000001</v>
      </c>
      <c r="N168" s="101" t="s">
        <v>1267</v>
      </c>
      <c r="O168" s="82" t="s">
        <v>1268</v>
      </c>
      <c r="P168" s="82">
        <v>19720</v>
      </c>
      <c r="Q168" s="82"/>
      <c r="R168" s="82" t="s">
        <v>37</v>
      </c>
      <c r="S168" s="82"/>
      <c r="T168" s="82" t="s">
        <v>1269</v>
      </c>
      <c r="U168" s="97">
        <v>1932</v>
      </c>
      <c r="V168" s="97">
        <v>1932</v>
      </c>
      <c r="W168" s="97" t="s">
        <v>66</v>
      </c>
      <c r="X168" s="97">
        <v>1968</v>
      </c>
      <c r="Y168" s="102" t="s">
        <v>1270</v>
      </c>
      <c r="Z168" s="102" t="s">
        <v>1271</v>
      </c>
    </row>
    <row r="169" spans="1:26" s="82" customFormat="1" ht="30" x14ac:dyDescent="0.25">
      <c r="A169" s="104" t="s">
        <v>1272</v>
      </c>
      <c r="B169" s="104" t="s">
        <v>1264</v>
      </c>
      <c r="C169" s="104" t="str">
        <f t="shared" si="5"/>
        <v>NCC-014  - New Castle Common</v>
      </c>
      <c r="D169" s="106" t="s">
        <v>71</v>
      </c>
      <c r="E169" s="106" t="s">
        <v>71</v>
      </c>
      <c r="F169" s="107" t="s">
        <v>30</v>
      </c>
      <c r="G169" s="107"/>
      <c r="H169" s="106"/>
      <c r="I169" s="108" t="s">
        <v>1181</v>
      </c>
      <c r="J169" s="105">
        <v>2</v>
      </c>
      <c r="K169" s="105">
        <v>17</v>
      </c>
      <c r="L169" s="143" t="s">
        <v>1273</v>
      </c>
      <c r="M169" s="143" t="s">
        <v>1274</v>
      </c>
      <c r="N169" s="110" t="s">
        <v>1275</v>
      </c>
      <c r="O169" s="104" t="s">
        <v>1268</v>
      </c>
      <c r="P169" s="104">
        <v>19720</v>
      </c>
      <c r="Q169" s="104"/>
      <c r="R169" s="104" t="s">
        <v>37</v>
      </c>
      <c r="S169" s="104"/>
      <c r="T169" s="104" t="s">
        <v>38</v>
      </c>
      <c r="U169" s="107">
        <v>1932</v>
      </c>
      <c r="V169" s="107">
        <v>1932</v>
      </c>
      <c r="W169" s="107" t="s">
        <v>66</v>
      </c>
      <c r="X169" s="107">
        <v>1959</v>
      </c>
      <c r="Y169" s="111"/>
      <c r="Z169" s="111"/>
    </row>
    <row r="170" spans="1:26" s="104" customFormat="1" ht="51" x14ac:dyDescent="0.25">
      <c r="A170" s="82" t="s">
        <v>1276</v>
      </c>
      <c r="B170" s="82" t="s">
        <v>1277</v>
      </c>
      <c r="C170" s="82" t="str">
        <f t="shared" si="5"/>
        <v>NCC-015  - Buena Vista</v>
      </c>
      <c r="D170" s="96" t="s">
        <v>1278</v>
      </c>
      <c r="E170" s="96" t="s">
        <v>29</v>
      </c>
      <c r="F170" s="97" t="s">
        <v>30</v>
      </c>
      <c r="G170" s="97"/>
      <c r="H170" s="96" t="s">
        <v>628</v>
      </c>
      <c r="I170" s="99" t="s">
        <v>1181</v>
      </c>
      <c r="J170" s="95">
        <v>13</v>
      </c>
      <c r="K170" s="95">
        <v>5</v>
      </c>
      <c r="L170" s="100" t="s">
        <v>1279</v>
      </c>
      <c r="M170" s="100" t="s">
        <v>1280</v>
      </c>
      <c r="N170" s="101" t="s">
        <v>1281</v>
      </c>
      <c r="O170" s="82" t="s">
        <v>1268</v>
      </c>
      <c r="P170" s="82">
        <v>19720</v>
      </c>
      <c r="Q170" s="82"/>
      <c r="R170" s="82" t="s">
        <v>37</v>
      </c>
      <c r="S170" s="82"/>
      <c r="T170" s="82" t="s">
        <v>56</v>
      </c>
      <c r="U170" s="97">
        <v>1932</v>
      </c>
      <c r="V170" s="97">
        <v>1932</v>
      </c>
      <c r="W170" s="97" t="s">
        <v>66</v>
      </c>
      <c r="X170" s="97">
        <v>1975</v>
      </c>
      <c r="Y170" s="102" t="s">
        <v>1282</v>
      </c>
      <c r="Z170" s="102" t="s">
        <v>1283</v>
      </c>
    </row>
    <row r="171" spans="1:26" s="82" customFormat="1" ht="45" x14ac:dyDescent="0.25">
      <c r="A171" s="82" t="s">
        <v>1284</v>
      </c>
      <c r="B171" s="82" t="s">
        <v>1285</v>
      </c>
      <c r="C171" s="82" t="str">
        <f t="shared" si="5"/>
        <v>NCC-016  - Commodore Thomas MacDonough</v>
      </c>
      <c r="D171" s="96" t="s">
        <v>1286</v>
      </c>
      <c r="E171" s="96" t="s">
        <v>29</v>
      </c>
      <c r="F171" s="97" t="s">
        <v>62</v>
      </c>
      <c r="G171" s="97"/>
      <c r="H171" s="96"/>
      <c r="I171" s="99" t="s">
        <v>1181</v>
      </c>
      <c r="J171" s="95">
        <v>10</v>
      </c>
      <c r="K171" s="95">
        <v>9</v>
      </c>
      <c r="L171" s="100" t="s">
        <v>1287</v>
      </c>
      <c r="M171" s="100" t="s">
        <v>1288</v>
      </c>
      <c r="N171" s="101" t="s">
        <v>1289</v>
      </c>
      <c r="O171" s="82" t="s">
        <v>1290</v>
      </c>
      <c r="P171" s="82">
        <v>19709</v>
      </c>
      <c r="R171" s="82" t="s">
        <v>37</v>
      </c>
      <c r="S171" s="82" t="s">
        <v>1291</v>
      </c>
      <c r="T171" s="82" t="s">
        <v>38</v>
      </c>
      <c r="U171" s="97">
        <v>1932</v>
      </c>
      <c r="V171" s="97">
        <v>1932</v>
      </c>
      <c r="W171" s="97" t="s">
        <v>1292</v>
      </c>
      <c r="X171" s="97" t="s">
        <v>1293</v>
      </c>
      <c r="Y171" s="102" t="s">
        <v>1294</v>
      </c>
      <c r="Z171" s="102" t="s">
        <v>1295</v>
      </c>
    </row>
    <row r="172" spans="1:26" s="82" customFormat="1" ht="25.5" x14ac:dyDescent="0.25">
      <c r="A172" s="149" t="s">
        <v>1296</v>
      </c>
      <c r="B172" s="149" t="s">
        <v>1297</v>
      </c>
      <c r="C172" s="149" t="str">
        <f t="shared" si="5"/>
        <v>NCC-017  - Old Drawyers</v>
      </c>
      <c r="D172" s="151" t="s">
        <v>1298</v>
      </c>
      <c r="E172" s="151" t="s">
        <v>66</v>
      </c>
      <c r="F172" s="152" t="s">
        <v>191</v>
      </c>
      <c r="G172" s="152"/>
      <c r="H172" s="151"/>
      <c r="I172" s="153" t="s">
        <v>1181</v>
      </c>
      <c r="J172" s="150">
        <v>10</v>
      </c>
      <c r="K172" s="150">
        <v>9</v>
      </c>
      <c r="L172" s="154" t="s">
        <v>1299</v>
      </c>
      <c r="M172" s="154" t="s">
        <v>1300</v>
      </c>
      <c r="N172" s="156" t="s">
        <v>1301</v>
      </c>
      <c r="O172" s="149" t="s">
        <v>1290</v>
      </c>
      <c r="P172" s="149">
        <v>19709</v>
      </c>
      <c r="Q172" s="149"/>
      <c r="R172" s="149" t="s">
        <v>37</v>
      </c>
      <c r="S172" s="156" t="s">
        <v>1302</v>
      </c>
      <c r="T172" s="149" t="s">
        <v>56</v>
      </c>
      <c r="U172" s="152">
        <v>1932</v>
      </c>
      <c r="V172" s="152">
        <v>1932</v>
      </c>
      <c r="W172" s="152" t="s">
        <v>66</v>
      </c>
      <c r="X172" s="152">
        <v>2006</v>
      </c>
      <c r="Y172" s="155"/>
      <c r="Z172" s="155"/>
    </row>
    <row r="173" spans="1:26" s="149" customFormat="1" ht="45" x14ac:dyDescent="0.25">
      <c r="A173" s="82" t="s">
        <v>1303</v>
      </c>
      <c r="B173" s="82" t="s">
        <v>1304</v>
      </c>
      <c r="C173" s="82" t="str">
        <f t="shared" si="5"/>
        <v>NCC-018  - Odessa</v>
      </c>
      <c r="D173" s="96" t="s">
        <v>1305</v>
      </c>
      <c r="E173" s="96" t="s">
        <v>29</v>
      </c>
      <c r="F173" s="97" t="s">
        <v>205</v>
      </c>
      <c r="G173" s="97"/>
      <c r="H173" s="96"/>
      <c r="I173" s="99" t="s">
        <v>1181</v>
      </c>
      <c r="J173" s="95">
        <v>10</v>
      </c>
      <c r="K173" s="95">
        <v>9</v>
      </c>
      <c r="L173" s="100" t="s">
        <v>1306</v>
      </c>
      <c r="M173" s="100" t="s">
        <v>1307</v>
      </c>
      <c r="N173" s="101" t="s">
        <v>1308</v>
      </c>
      <c r="O173" s="82" t="s">
        <v>1304</v>
      </c>
      <c r="P173" s="82">
        <v>19730</v>
      </c>
      <c r="Q173" s="82"/>
      <c r="R173" s="82" t="s">
        <v>37</v>
      </c>
      <c r="S173" s="82" t="s">
        <v>1309</v>
      </c>
      <c r="T173" s="82" t="s">
        <v>38</v>
      </c>
      <c r="U173" s="97">
        <v>1932</v>
      </c>
      <c r="V173" s="97">
        <v>1932</v>
      </c>
      <c r="W173" s="97" t="s">
        <v>1292</v>
      </c>
      <c r="X173" s="97">
        <v>2016</v>
      </c>
      <c r="Y173" s="102" t="s">
        <v>1310</v>
      </c>
      <c r="Z173" s="102" t="s">
        <v>1311</v>
      </c>
    </row>
    <row r="174" spans="1:26" s="82" customFormat="1" ht="30" x14ac:dyDescent="0.25">
      <c r="A174" s="104" t="s">
        <v>1312</v>
      </c>
      <c r="B174" s="104" t="s">
        <v>1313</v>
      </c>
      <c r="C174" s="104" t="str">
        <f t="shared" si="5"/>
        <v>NCC-019  - Edmund Cantwell</v>
      </c>
      <c r="D174" s="106" t="s">
        <v>71</v>
      </c>
      <c r="E174" s="106" t="s">
        <v>71</v>
      </c>
      <c r="F174" s="107" t="s">
        <v>1123</v>
      </c>
      <c r="G174" s="107"/>
      <c r="H174" s="106"/>
      <c r="I174" s="108" t="s">
        <v>1181</v>
      </c>
      <c r="J174" s="105">
        <v>10</v>
      </c>
      <c r="K174" s="105">
        <v>9</v>
      </c>
      <c r="L174" s="143" t="s">
        <v>1314</v>
      </c>
      <c r="M174" s="143" t="s">
        <v>1315</v>
      </c>
      <c r="N174" s="110" t="s">
        <v>1316</v>
      </c>
      <c r="O174" s="104" t="s">
        <v>1304</v>
      </c>
      <c r="P174" s="104">
        <v>19730</v>
      </c>
      <c r="Q174" s="104"/>
      <c r="R174" s="104" t="s">
        <v>37</v>
      </c>
      <c r="S174" s="104"/>
      <c r="T174" s="104" t="s">
        <v>56</v>
      </c>
      <c r="U174" s="107">
        <v>1932</v>
      </c>
      <c r="V174" s="107">
        <v>1932</v>
      </c>
      <c r="W174" s="107" t="s">
        <v>66</v>
      </c>
      <c r="X174" s="107"/>
      <c r="Y174" s="111"/>
      <c r="Z174" s="111"/>
    </row>
    <row r="175" spans="1:26" s="159" customFormat="1" x14ac:dyDescent="0.25">
      <c r="A175" s="104" t="s">
        <v>1317</v>
      </c>
      <c r="B175" s="104" t="s">
        <v>1318</v>
      </c>
      <c r="C175" s="104" t="str">
        <f t="shared" si="5"/>
        <v>NCC-020  - Indian Treaty</v>
      </c>
      <c r="D175" s="106" t="s">
        <v>71</v>
      </c>
      <c r="E175" s="106" t="s">
        <v>71</v>
      </c>
      <c r="F175" s="107" t="s">
        <v>1175</v>
      </c>
      <c r="G175" s="107"/>
      <c r="H175" s="106"/>
      <c r="I175" s="108" t="s">
        <v>1181</v>
      </c>
      <c r="J175" s="105">
        <v>10</v>
      </c>
      <c r="K175" s="105">
        <v>9</v>
      </c>
      <c r="L175" s="143" t="s">
        <v>1319</v>
      </c>
      <c r="M175" s="143" t="s">
        <v>1320</v>
      </c>
      <c r="N175" s="110" t="s">
        <v>1321</v>
      </c>
      <c r="O175" s="104" t="s">
        <v>1304</v>
      </c>
      <c r="P175" s="104">
        <v>19730</v>
      </c>
      <c r="Q175" s="104"/>
      <c r="R175" s="104" t="s">
        <v>37</v>
      </c>
      <c r="S175" s="104"/>
      <c r="T175" s="104" t="s">
        <v>56</v>
      </c>
      <c r="U175" s="107">
        <v>1932</v>
      </c>
      <c r="V175" s="107">
        <v>1932</v>
      </c>
      <c r="W175" s="107" t="s">
        <v>66</v>
      </c>
      <c r="X175" s="107"/>
      <c r="Y175" s="111"/>
      <c r="Z175" s="111"/>
    </row>
    <row r="176" spans="1:26" s="159" customFormat="1" x14ac:dyDescent="0.25">
      <c r="A176" s="104" t="s">
        <v>1322</v>
      </c>
      <c r="B176" s="104" t="s">
        <v>1268</v>
      </c>
      <c r="C176" s="104" t="str">
        <f t="shared" si="5"/>
        <v>NCC-021  - New Castle</v>
      </c>
      <c r="D176" s="106" t="s">
        <v>71</v>
      </c>
      <c r="E176" s="106" t="s">
        <v>71</v>
      </c>
      <c r="F176" s="107" t="s">
        <v>205</v>
      </c>
      <c r="G176" s="107"/>
      <c r="H176" s="106"/>
      <c r="I176" s="108" t="s">
        <v>1181</v>
      </c>
      <c r="J176" s="105">
        <v>12</v>
      </c>
      <c r="K176" s="105">
        <v>16</v>
      </c>
      <c r="L176" s="143" t="s">
        <v>1323</v>
      </c>
      <c r="M176" s="143" t="s">
        <v>1324</v>
      </c>
      <c r="N176" s="110" t="s">
        <v>1325</v>
      </c>
      <c r="O176" s="104" t="s">
        <v>1268</v>
      </c>
      <c r="P176" s="104">
        <v>19720</v>
      </c>
      <c r="Q176" s="104"/>
      <c r="R176" s="104" t="s">
        <v>37</v>
      </c>
      <c r="S176" s="104"/>
      <c r="T176" s="104" t="s">
        <v>56</v>
      </c>
      <c r="U176" s="107">
        <v>1932</v>
      </c>
      <c r="V176" s="107">
        <v>1932</v>
      </c>
      <c r="W176" s="107" t="s">
        <v>66</v>
      </c>
      <c r="X176" s="107"/>
      <c r="Y176" s="111"/>
      <c r="Z176" s="111"/>
    </row>
    <row r="177" spans="1:26" s="159" customFormat="1" ht="45" x14ac:dyDescent="0.25">
      <c r="A177" s="82" t="s">
        <v>1326</v>
      </c>
      <c r="B177" s="82" t="s">
        <v>1327</v>
      </c>
      <c r="C177" s="82" t="str">
        <f t="shared" si="5"/>
        <v>NCC-022  - Broad Dyke</v>
      </c>
      <c r="D177" s="96" t="s">
        <v>1328</v>
      </c>
      <c r="E177" s="96" t="s">
        <v>29</v>
      </c>
      <c r="F177" s="97" t="s">
        <v>409</v>
      </c>
      <c r="G177" s="97"/>
      <c r="H177" s="96" t="s">
        <v>84</v>
      </c>
      <c r="I177" s="99" t="s">
        <v>1181</v>
      </c>
      <c r="J177" s="95">
        <v>12</v>
      </c>
      <c r="K177" s="95">
        <v>16</v>
      </c>
      <c r="L177" s="100" t="s">
        <v>1329</v>
      </c>
      <c r="M177" s="100" t="s">
        <v>1330</v>
      </c>
      <c r="N177" s="101" t="s">
        <v>1331</v>
      </c>
      <c r="O177" s="82" t="s">
        <v>1268</v>
      </c>
      <c r="P177" s="82">
        <v>19720</v>
      </c>
      <c r="Q177" s="82"/>
      <c r="R177" s="82" t="s">
        <v>37</v>
      </c>
      <c r="S177" s="82"/>
      <c r="T177" s="82" t="s">
        <v>56</v>
      </c>
      <c r="U177" s="97">
        <v>1932</v>
      </c>
      <c r="V177" s="97">
        <v>1932</v>
      </c>
      <c r="W177" s="97" t="s">
        <v>66</v>
      </c>
      <c r="X177" s="97">
        <v>2007</v>
      </c>
      <c r="Y177" s="102" t="s">
        <v>1332</v>
      </c>
      <c r="Z177" s="102" t="s">
        <v>1333</v>
      </c>
    </row>
    <row r="178" spans="1:26" s="82" customFormat="1" ht="51" x14ac:dyDescent="0.25">
      <c r="A178" s="82" t="s">
        <v>1334</v>
      </c>
      <c r="B178" s="82" t="s">
        <v>1335</v>
      </c>
      <c r="C178" s="82" t="str">
        <f t="shared" si="5"/>
        <v>NCC-023  - Site of Fort Casimir</v>
      </c>
      <c r="D178" s="96" t="s">
        <v>1336</v>
      </c>
      <c r="E178" s="96" t="s">
        <v>29</v>
      </c>
      <c r="F178" s="97" t="s">
        <v>30</v>
      </c>
      <c r="G178" s="97"/>
      <c r="H178" s="96" t="s">
        <v>1337</v>
      </c>
      <c r="I178" s="99" t="s">
        <v>1181</v>
      </c>
      <c r="J178" s="95">
        <v>12</v>
      </c>
      <c r="K178" s="95">
        <v>16</v>
      </c>
      <c r="L178" s="112">
        <v>39.662170000000003</v>
      </c>
      <c r="M178" s="112">
        <v>-75.559899999999999</v>
      </c>
      <c r="N178" s="101" t="s">
        <v>1338</v>
      </c>
      <c r="O178" s="82" t="s">
        <v>1268</v>
      </c>
      <c r="P178" s="82">
        <v>19720</v>
      </c>
      <c r="R178" s="82" t="s">
        <v>37</v>
      </c>
      <c r="T178" s="82" t="s">
        <v>56</v>
      </c>
      <c r="U178" s="97">
        <v>1932</v>
      </c>
      <c r="V178" s="97">
        <v>1932</v>
      </c>
      <c r="W178" s="97" t="s">
        <v>66</v>
      </c>
      <c r="X178" s="97"/>
      <c r="Y178" s="102" t="s">
        <v>1339</v>
      </c>
      <c r="Z178" s="102" t="s">
        <v>1340</v>
      </c>
    </row>
    <row r="179" spans="1:26" s="82" customFormat="1" ht="45" x14ac:dyDescent="0.25">
      <c r="A179" s="82" t="s">
        <v>1341</v>
      </c>
      <c r="B179" s="82" t="s">
        <v>1342</v>
      </c>
      <c r="C179" s="82" t="str">
        <f t="shared" si="5"/>
        <v>NCC-024  - Packet Alley</v>
      </c>
      <c r="D179" s="96" t="s">
        <v>1328</v>
      </c>
      <c r="E179" s="96" t="s">
        <v>29</v>
      </c>
      <c r="F179" s="97" t="s">
        <v>30</v>
      </c>
      <c r="G179" s="97"/>
      <c r="H179" s="96"/>
      <c r="I179" s="99" t="s">
        <v>1181</v>
      </c>
      <c r="J179" s="95">
        <v>12</v>
      </c>
      <c r="K179" s="95">
        <v>16</v>
      </c>
      <c r="L179" s="100" t="s">
        <v>1343</v>
      </c>
      <c r="M179" s="100" t="s">
        <v>1344</v>
      </c>
      <c r="N179" s="101" t="s">
        <v>1345</v>
      </c>
      <c r="O179" s="82" t="s">
        <v>1268</v>
      </c>
      <c r="P179" s="82">
        <v>19720</v>
      </c>
      <c r="R179" s="82" t="s">
        <v>37</v>
      </c>
      <c r="T179" s="82" t="s">
        <v>56</v>
      </c>
      <c r="U179" s="97">
        <v>1933</v>
      </c>
      <c r="V179" s="97">
        <v>1933</v>
      </c>
      <c r="W179" s="97" t="s">
        <v>66</v>
      </c>
      <c r="X179" s="97">
        <v>2007</v>
      </c>
      <c r="Y179" s="102" t="s">
        <v>1346</v>
      </c>
      <c r="Z179" s="102" t="s">
        <v>1347</v>
      </c>
    </row>
    <row r="180" spans="1:26" s="82" customFormat="1" ht="51" x14ac:dyDescent="0.25">
      <c r="A180" s="82" t="s">
        <v>1348</v>
      </c>
      <c r="B180" s="82" t="s">
        <v>1349</v>
      </c>
      <c r="C180" s="82" t="str">
        <f t="shared" ref="C180:C211" si="6">A180 &amp; " - " &amp; B180</f>
        <v>NCC-025  - Landing Place of William Penn</v>
      </c>
      <c r="D180" s="96" t="s">
        <v>1350</v>
      </c>
      <c r="E180" s="96" t="s">
        <v>29</v>
      </c>
      <c r="F180" s="97" t="s">
        <v>30</v>
      </c>
      <c r="G180" s="97"/>
      <c r="H180" s="96" t="s">
        <v>541</v>
      </c>
      <c r="I180" s="99" t="s">
        <v>1181</v>
      </c>
      <c r="J180" s="95">
        <v>12</v>
      </c>
      <c r="K180" s="95">
        <v>16</v>
      </c>
      <c r="L180" s="100" t="s">
        <v>1351</v>
      </c>
      <c r="M180" s="100" t="s">
        <v>1352</v>
      </c>
      <c r="N180" s="101" t="s">
        <v>1353</v>
      </c>
      <c r="O180" s="82" t="s">
        <v>1268</v>
      </c>
      <c r="P180" s="82">
        <v>19720</v>
      </c>
      <c r="R180" s="82" t="s">
        <v>37</v>
      </c>
      <c r="S180" s="82" t="s">
        <v>1354</v>
      </c>
      <c r="T180" s="82" t="s">
        <v>56</v>
      </c>
      <c r="U180" s="97">
        <v>1932</v>
      </c>
      <c r="V180" s="97">
        <v>1932</v>
      </c>
      <c r="W180" s="97" t="s">
        <v>66</v>
      </c>
      <c r="X180" s="97">
        <v>2015</v>
      </c>
      <c r="Y180" s="102" t="s">
        <v>1355</v>
      </c>
      <c r="Z180" s="102" t="s">
        <v>1356</v>
      </c>
    </row>
    <row r="181" spans="1:26" s="82" customFormat="1" ht="51" x14ac:dyDescent="0.25">
      <c r="A181" s="82" t="s">
        <v>1357</v>
      </c>
      <c r="B181" s="82" t="s">
        <v>1358</v>
      </c>
      <c r="C181" s="82" t="str">
        <f t="shared" si="6"/>
        <v>NCC-026  - New Castle and Frenchtown Railroad</v>
      </c>
      <c r="D181" s="96" t="s">
        <v>1359</v>
      </c>
      <c r="E181" s="96" t="s">
        <v>29</v>
      </c>
      <c r="F181" s="97" t="s">
        <v>30</v>
      </c>
      <c r="G181" s="97"/>
      <c r="H181" s="96" t="s">
        <v>565</v>
      </c>
      <c r="I181" s="99" t="s">
        <v>1181</v>
      </c>
      <c r="J181" s="95">
        <v>12</v>
      </c>
      <c r="K181" s="95">
        <v>15</v>
      </c>
      <c r="L181" s="100" t="s">
        <v>1360</v>
      </c>
      <c r="M181" s="100" t="s">
        <v>1361</v>
      </c>
      <c r="N181" s="101" t="s">
        <v>1362</v>
      </c>
      <c r="O181" s="82" t="s">
        <v>1268</v>
      </c>
      <c r="P181" s="82">
        <v>19720</v>
      </c>
      <c r="R181" s="82" t="s">
        <v>37</v>
      </c>
      <c r="U181" s="97">
        <v>1932</v>
      </c>
      <c r="V181" s="97">
        <v>1932</v>
      </c>
      <c r="W181" s="97" t="s">
        <v>39</v>
      </c>
      <c r="X181" s="97" t="s">
        <v>1363</v>
      </c>
      <c r="Y181" s="102" t="s">
        <v>1364</v>
      </c>
      <c r="Z181" s="131" t="s">
        <v>1365</v>
      </c>
    </row>
    <row r="182" spans="1:26" s="82" customFormat="1" ht="30" x14ac:dyDescent="0.25">
      <c r="A182" s="104" t="s">
        <v>1366</v>
      </c>
      <c r="B182" s="104" t="s">
        <v>1367</v>
      </c>
      <c r="C182" s="104" t="str">
        <f t="shared" si="6"/>
        <v>NCC-027  - Town Hall and Market House</v>
      </c>
      <c r="D182" s="106" t="s">
        <v>71</v>
      </c>
      <c r="E182" s="106" t="s">
        <v>71</v>
      </c>
      <c r="F182" s="107" t="s">
        <v>30</v>
      </c>
      <c r="G182" s="107"/>
      <c r="H182" s="106"/>
      <c r="I182" s="108" t="s">
        <v>1181</v>
      </c>
      <c r="J182" s="105">
        <v>12</v>
      </c>
      <c r="K182" s="105">
        <v>16</v>
      </c>
      <c r="L182" s="143" t="s">
        <v>1368</v>
      </c>
      <c r="M182" s="143" t="s">
        <v>1369</v>
      </c>
      <c r="N182" s="110" t="s">
        <v>1370</v>
      </c>
      <c r="O182" s="104" t="s">
        <v>1268</v>
      </c>
      <c r="P182" s="104">
        <v>19720</v>
      </c>
      <c r="Q182" s="104"/>
      <c r="R182" s="104" t="s">
        <v>37</v>
      </c>
      <c r="S182" s="104" t="s">
        <v>1371</v>
      </c>
      <c r="T182" s="104" t="s">
        <v>56</v>
      </c>
      <c r="U182" s="107">
        <v>1932</v>
      </c>
      <c r="V182" s="107">
        <v>1932</v>
      </c>
      <c r="W182" s="107" t="s">
        <v>39</v>
      </c>
      <c r="X182" s="107">
        <v>2012</v>
      </c>
      <c r="Y182" s="111"/>
      <c r="Z182" s="111"/>
    </row>
    <row r="183" spans="1:26" s="104" customFormat="1" ht="63.75" x14ac:dyDescent="0.25">
      <c r="A183" s="82" t="s">
        <v>1372</v>
      </c>
      <c r="B183" s="82" t="s">
        <v>1373</v>
      </c>
      <c r="C183" s="82" t="str">
        <f t="shared" si="6"/>
        <v>NCC-028  - The Green or Market Plaine</v>
      </c>
      <c r="D183" s="96" t="s">
        <v>1374</v>
      </c>
      <c r="E183" s="96" t="s">
        <v>29</v>
      </c>
      <c r="F183" s="97" t="s">
        <v>30</v>
      </c>
      <c r="G183" s="97"/>
      <c r="H183" s="96" t="s">
        <v>1375</v>
      </c>
      <c r="I183" s="99" t="s">
        <v>1181</v>
      </c>
      <c r="J183" s="95">
        <v>12</v>
      </c>
      <c r="K183" s="95">
        <v>16</v>
      </c>
      <c r="L183" s="112">
        <v>39.659860000000002</v>
      </c>
      <c r="M183" s="112">
        <v>-75.564049999999995</v>
      </c>
      <c r="N183" s="101" t="s">
        <v>1376</v>
      </c>
      <c r="O183" s="82" t="s">
        <v>1268</v>
      </c>
      <c r="P183" s="82">
        <v>19720</v>
      </c>
      <c r="Q183" s="82"/>
      <c r="R183" s="82" t="s">
        <v>37</v>
      </c>
      <c r="S183" s="82"/>
      <c r="T183" s="82" t="s">
        <v>56</v>
      </c>
      <c r="U183" s="97">
        <v>1932</v>
      </c>
      <c r="V183" s="97">
        <v>1932</v>
      </c>
      <c r="W183" s="97" t="s">
        <v>39</v>
      </c>
      <c r="X183" s="97" t="s">
        <v>1377</v>
      </c>
      <c r="Y183" s="102" t="s">
        <v>1378</v>
      </c>
      <c r="Z183" s="102" t="s">
        <v>1379</v>
      </c>
    </row>
    <row r="184" spans="1:26" s="82" customFormat="1" ht="30" x14ac:dyDescent="0.25">
      <c r="A184" s="104" t="s">
        <v>1380</v>
      </c>
      <c r="B184" s="104" t="s">
        <v>1358</v>
      </c>
      <c r="C184" s="104" t="str">
        <f t="shared" si="6"/>
        <v>NCC-029  - New Castle and Frenchtown Railroad</v>
      </c>
      <c r="D184" s="106" t="s">
        <v>71</v>
      </c>
      <c r="E184" s="106" t="s">
        <v>71</v>
      </c>
      <c r="F184" s="107" t="s">
        <v>30</v>
      </c>
      <c r="G184" s="107"/>
      <c r="H184" s="106"/>
      <c r="I184" s="108" t="s">
        <v>1181</v>
      </c>
      <c r="J184" s="105">
        <v>12</v>
      </c>
      <c r="K184" s="105">
        <v>16</v>
      </c>
      <c r="L184" s="143" t="s">
        <v>1381</v>
      </c>
      <c r="M184" s="143" t="s">
        <v>1382</v>
      </c>
      <c r="N184" s="110" t="s">
        <v>1383</v>
      </c>
      <c r="O184" s="104" t="s">
        <v>1268</v>
      </c>
      <c r="P184" s="104">
        <v>19720</v>
      </c>
      <c r="Q184" s="104"/>
      <c r="R184" s="104" t="s">
        <v>37</v>
      </c>
      <c r="S184" s="104"/>
      <c r="T184" s="104" t="s">
        <v>56</v>
      </c>
      <c r="U184" s="107">
        <v>1932</v>
      </c>
      <c r="V184" s="107">
        <v>1932</v>
      </c>
      <c r="W184" s="107" t="s">
        <v>39</v>
      </c>
      <c r="X184" s="107">
        <v>2014</v>
      </c>
      <c r="Y184" s="111"/>
      <c r="Z184" s="111"/>
    </row>
    <row r="185" spans="1:26" s="104" customFormat="1" ht="30" x14ac:dyDescent="0.25">
      <c r="A185" s="104" t="s">
        <v>1384</v>
      </c>
      <c r="B185" s="104" t="s">
        <v>1268</v>
      </c>
      <c r="C185" s="104" t="str">
        <f t="shared" si="6"/>
        <v>NCC-030  - New Castle</v>
      </c>
      <c r="D185" s="106" t="s">
        <v>71</v>
      </c>
      <c r="E185" s="106" t="s">
        <v>71</v>
      </c>
      <c r="F185" s="107" t="s">
        <v>205</v>
      </c>
      <c r="G185" s="107"/>
      <c r="H185" s="106"/>
      <c r="I185" s="108" t="s">
        <v>1181</v>
      </c>
      <c r="J185" s="105">
        <v>12</v>
      </c>
      <c r="K185" s="105">
        <v>17</v>
      </c>
      <c r="L185" s="143" t="s">
        <v>1385</v>
      </c>
      <c r="M185" s="143" t="s">
        <v>1386</v>
      </c>
      <c r="N185" s="110" t="s">
        <v>1387</v>
      </c>
      <c r="O185" s="104" t="s">
        <v>1268</v>
      </c>
      <c r="P185" s="104">
        <v>19720</v>
      </c>
      <c r="R185" s="104" t="s">
        <v>37</v>
      </c>
      <c r="S185" s="104" t="s">
        <v>1388</v>
      </c>
      <c r="T185" s="104" t="s">
        <v>56</v>
      </c>
      <c r="U185" s="107">
        <v>1932</v>
      </c>
      <c r="V185" s="107">
        <v>1932</v>
      </c>
      <c r="W185" s="107" t="s">
        <v>39</v>
      </c>
      <c r="X185" s="107">
        <v>2015</v>
      </c>
      <c r="Y185" s="111"/>
      <c r="Z185" s="111"/>
    </row>
    <row r="186" spans="1:26" s="104" customFormat="1" ht="45" x14ac:dyDescent="0.25">
      <c r="A186" s="104" t="s">
        <v>1389</v>
      </c>
      <c r="B186" s="104" t="s">
        <v>1268</v>
      </c>
      <c r="C186" s="104" t="str">
        <f t="shared" si="6"/>
        <v>NCC-031  - New Castle</v>
      </c>
      <c r="D186" s="106" t="s">
        <v>71</v>
      </c>
      <c r="E186" s="106" t="s">
        <v>71</v>
      </c>
      <c r="F186" s="107" t="s">
        <v>205</v>
      </c>
      <c r="G186" s="107"/>
      <c r="H186" s="106"/>
      <c r="I186" s="108" t="s">
        <v>1181</v>
      </c>
      <c r="J186" s="105">
        <v>13</v>
      </c>
      <c r="K186" s="105">
        <v>17</v>
      </c>
      <c r="L186" s="143" t="s">
        <v>1390</v>
      </c>
      <c r="M186" s="143" t="s">
        <v>1391</v>
      </c>
      <c r="N186" s="110" t="s">
        <v>1392</v>
      </c>
      <c r="O186" s="104" t="s">
        <v>1268</v>
      </c>
      <c r="P186" s="104">
        <v>19720</v>
      </c>
      <c r="R186" s="104" t="s">
        <v>37</v>
      </c>
      <c r="S186" s="144" t="s">
        <v>1393</v>
      </c>
      <c r="T186" s="104" t="s">
        <v>56</v>
      </c>
      <c r="U186" s="107">
        <v>1932</v>
      </c>
      <c r="V186" s="107">
        <v>1932</v>
      </c>
      <c r="W186" s="107" t="s">
        <v>39</v>
      </c>
      <c r="X186" s="107">
        <v>2016</v>
      </c>
      <c r="Y186" s="111"/>
      <c r="Z186" s="111"/>
    </row>
    <row r="187" spans="1:26" s="104" customFormat="1" ht="45" x14ac:dyDescent="0.25">
      <c r="A187" s="82" t="s">
        <v>1394</v>
      </c>
      <c r="B187" s="82" t="s">
        <v>1395</v>
      </c>
      <c r="C187" s="82" t="str">
        <f t="shared" si="6"/>
        <v>NCC-032  - Saint Mary's Church</v>
      </c>
      <c r="D187" s="96" t="s">
        <v>1396</v>
      </c>
      <c r="E187" s="96" t="s">
        <v>29</v>
      </c>
      <c r="F187" s="97" t="s">
        <v>191</v>
      </c>
      <c r="G187" s="97"/>
      <c r="H187" s="96" t="s">
        <v>1397</v>
      </c>
      <c r="I187" s="99" t="s">
        <v>1181</v>
      </c>
      <c r="J187" s="95">
        <v>7</v>
      </c>
      <c r="K187" s="95">
        <v>22</v>
      </c>
      <c r="L187" s="112">
        <v>39.768749999999997</v>
      </c>
      <c r="M187" s="112">
        <v>-75.659620000000004</v>
      </c>
      <c r="N187" s="101" t="s">
        <v>1398</v>
      </c>
      <c r="O187" s="82" t="s">
        <v>1399</v>
      </c>
      <c r="P187" s="82">
        <v>19707</v>
      </c>
      <c r="Q187" s="82"/>
      <c r="R187" s="82" t="s">
        <v>37</v>
      </c>
      <c r="S187" s="82"/>
      <c r="T187" s="82" t="s">
        <v>56</v>
      </c>
      <c r="U187" s="97">
        <v>1932</v>
      </c>
      <c r="V187" s="97">
        <v>1932</v>
      </c>
      <c r="W187" s="97" t="s">
        <v>39</v>
      </c>
      <c r="X187" s="97">
        <v>2019</v>
      </c>
      <c r="Y187" s="102" t="s">
        <v>1400</v>
      </c>
      <c r="Z187" s="102" t="s">
        <v>1401</v>
      </c>
    </row>
    <row r="188" spans="1:26" s="82" customFormat="1" ht="45" x14ac:dyDescent="0.25">
      <c r="A188" s="82" t="s">
        <v>1402</v>
      </c>
      <c r="B188" s="82" t="s">
        <v>1403</v>
      </c>
      <c r="C188" s="82" t="str">
        <f t="shared" si="6"/>
        <v>NCC-033  - Washington's Earthworks</v>
      </c>
      <c r="D188" s="96" t="s">
        <v>1404</v>
      </c>
      <c r="E188" s="96" t="s">
        <v>29</v>
      </c>
      <c r="F188" s="97" t="s">
        <v>30</v>
      </c>
      <c r="G188" s="97" t="s">
        <v>1154</v>
      </c>
      <c r="H188" s="96" t="s">
        <v>1405</v>
      </c>
      <c r="I188" s="99" t="s">
        <v>1181</v>
      </c>
      <c r="J188" s="95">
        <v>7</v>
      </c>
      <c r="K188" s="95">
        <v>19</v>
      </c>
      <c r="L188" s="100" t="s">
        <v>1406</v>
      </c>
      <c r="M188" s="100" t="s">
        <v>1407</v>
      </c>
      <c r="N188" s="101" t="s">
        <v>1408</v>
      </c>
      <c r="O188" s="82" t="s">
        <v>1205</v>
      </c>
      <c r="P188" s="82">
        <v>19804</v>
      </c>
      <c r="R188" s="82" t="s">
        <v>37</v>
      </c>
      <c r="S188" s="82" t="s">
        <v>1409</v>
      </c>
      <c r="T188" s="82" t="s">
        <v>56</v>
      </c>
      <c r="U188" s="97">
        <v>1932</v>
      </c>
      <c r="V188" s="98" t="s">
        <v>1410</v>
      </c>
      <c r="W188" s="97" t="s">
        <v>39</v>
      </c>
      <c r="X188" s="97">
        <v>2020</v>
      </c>
      <c r="Y188" s="102" t="s">
        <v>1411</v>
      </c>
      <c r="Z188" s="102" t="s">
        <v>1412</v>
      </c>
    </row>
    <row r="189" spans="1:26" s="82" customFormat="1" ht="45" x14ac:dyDescent="0.25">
      <c r="A189" s="82" t="s">
        <v>1413</v>
      </c>
      <c r="B189" s="82" t="s">
        <v>1414</v>
      </c>
      <c r="C189" s="82" t="str">
        <f t="shared" si="6"/>
        <v>NCC-034  - Robert Kirkwood, Jr.</v>
      </c>
      <c r="D189" s="96" t="s">
        <v>1415</v>
      </c>
      <c r="E189" s="96" t="s">
        <v>29</v>
      </c>
      <c r="F189" s="97" t="s">
        <v>62</v>
      </c>
      <c r="G189" s="97"/>
      <c r="H189" s="96" t="s">
        <v>795</v>
      </c>
      <c r="I189" s="99" t="s">
        <v>1181</v>
      </c>
      <c r="J189" s="95">
        <v>9</v>
      </c>
      <c r="K189" s="95">
        <v>21</v>
      </c>
      <c r="L189" s="100" t="s">
        <v>1416</v>
      </c>
      <c r="M189" s="100" t="s">
        <v>1417</v>
      </c>
      <c r="N189" s="101" t="s">
        <v>1418</v>
      </c>
      <c r="O189" s="82" t="s">
        <v>1205</v>
      </c>
      <c r="P189" s="82">
        <v>19808</v>
      </c>
      <c r="R189" s="82" t="s">
        <v>37</v>
      </c>
      <c r="T189" s="82" t="s">
        <v>56</v>
      </c>
      <c r="U189" s="97">
        <v>1933</v>
      </c>
      <c r="V189" s="97">
        <v>1933</v>
      </c>
      <c r="W189" s="97" t="s">
        <v>39</v>
      </c>
      <c r="X189" s="97">
        <v>2011</v>
      </c>
      <c r="Y189" s="131" t="s">
        <v>1419</v>
      </c>
      <c r="Z189" s="102" t="s">
        <v>1420</v>
      </c>
    </row>
    <row r="190" spans="1:26" s="82" customFormat="1" ht="45" x14ac:dyDescent="0.25">
      <c r="A190" s="82" t="s">
        <v>1421</v>
      </c>
      <c r="B190" s="82" t="s">
        <v>1422</v>
      </c>
      <c r="C190" s="82" t="str">
        <f t="shared" si="6"/>
        <v>NCC-035  - Newark Academy</v>
      </c>
      <c r="D190" s="96" t="s">
        <v>1423</v>
      </c>
      <c r="E190" s="96" t="s">
        <v>29</v>
      </c>
      <c r="F190" s="97" t="s">
        <v>276</v>
      </c>
      <c r="G190" s="97"/>
      <c r="H190" s="96" t="s">
        <v>1424</v>
      </c>
      <c r="I190" s="99" t="s">
        <v>1181</v>
      </c>
      <c r="J190" s="95">
        <v>9</v>
      </c>
      <c r="K190" s="95">
        <v>18</v>
      </c>
      <c r="L190" s="100" t="s">
        <v>1425</v>
      </c>
      <c r="M190" s="100" t="s">
        <v>1426</v>
      </c>
      <c r="N190" s="101" t="s">
        <v>1427</v>
      </c>
      <c r="O190" s="82" t="s">
        <v>1428</v>
      </c>
      <c r="P190" s="82">
        <v>19711</v>
      </c>
      <c r="R190" s="82" t="s">
        <v>37</v>
      </c>
      <c r="T190" s="82" t="s">
        <v>56</v>
      </c>
      <c r="U190" s="97">
        <v>1933</v>
      </c>
      <c r="V190" s="97">
        <v>1933</v>
      </c>
      <c r="W190" s="97" t="s">
        <v>39</v>
      </c>
      <c r="X190" s="97"/>
      <c r="Y190" s="102" t="s">
        <v>1429</v>
      </c>
      <c r="Z190" s="102" t="s">
        <v>1430</v>
      </c>
    </row>
    <row r="191" spans="1:26" s="82" customFormat="1" ht="38.25" x14ac:dyDescent="0.25">
      <c r="A191" s="82" t="s">
        <v>1431</v>
      </c>
      <c r="B191" s="82" t="s">
        <v>1432</v>
      </c>
      <c r="C191" s="82" t="str">
        <f t="shared" si="6"/>
        <v>NCC-036  - The Wedge</v>
      </c>
      <c r="D191" s="96" t="s">
        <v>1433</v>
      </c>
      <c r="E191" s="96" t="s">
        <v>29</v>
      </c>
      <c r="F191" s="97" t="s">
        <v>409</v>
      </c>
      <c r="G191" s="97"/>
      <c r="H191" s="96" t="s">
        <v>419</v>
      </c>
      <c r="I191" s="99" t="s">
        <v>1181</v>
      </c>
      <c r="J191" s="95">
        <v>8</v>
      </c>
      <c r="K191" s="95">
        <v>23</v>
      </c>
      <c r="L191" s="100" t="s">
        <v>1434</v>
      </c>
      <c r="M191" s="100" t="s">
        <v>1435</v>
      </c>
      <c r="N191" s="101" t="s">
        <v>1436</v>
      </c>
      <c r="O191" s="82" t="s">
        <v>1428</v>
      </c>
      <c r="P191" s="82">
        <v>19711</v>
      </c>
      <c r="R191" s="82" t="s">
        <v>37</v>
      </c>
      <c r="S191" s="82" t="s">
        <v>1437</v>
      </c>
      <c r="T191" s="82" t="s">
        <v>38</v>
      </c>
      <c r="U191" s="97">
        <v>1932</v>
      </c>
      <c r="V191" s="97">
        <v>1932</v>
      </c>
      <c r="W191" s="97" t="s">
        <v>39</v>
      </c>
      <c r="X191" s="97" t="s">
        <v>1438</v>
      </c>
      <c r="Y191" s="102"/>
      <c r="Z191" s="102"/>
    </row>
    <row r="192" spans="1:26" s="82" customFormat="1" ht="75" x14ac:dyDescent="0.25">
      <c r="A192" s="82" t="s">
        <v>1439</v>
      </c>
      <c r="B192" s="82" t="s">
        <v>1432</v>
      </c>
      <c r="C192" s="82" t="str">
        <f t="shared" si="6"/>
        <v>NCC-037  - The Wedge</v>
      </c>
      <c r="D192" s="115" t="s">
        <v>1440</v>
      </c>
      <c r="E192" s="96" t="s">
        <v>29</v>
      </c>
      <c r="F192" s="97" t="s">
        <v>409</v>
      </c>
      <c r="G192" s="97"/>
      <c r="H192" s="96" t="s">
        <v>1018</v>
      </c>
      <c r="I192" s="99" t="s">
        <v>1181</v>
      </c>
      <c r="J192" s="95">
        <v>8</v>
      </c>
      <c r="K192" s="147">
        <v>23</v>
      </c>
      <c r="L192" s="100" t="s">
        <v>1441</v>
      </c>
      <c r="M192" s="100" t="s">
        <v>1442</v>
      </c>
      <c r="N192" s="101" t="s">
        <v>1443</v>
      </c>
      <c r="O192" s="82" t="s">
        <v>1428</v>
      </c>
      <c r="P192" s="82">
        <v>19711</v>
      </c>
      <c r="R192" s="82" t="s">
        <v>1444</v>
      </c>
      <c r="S192" s="82" t="s">
        <v>1445</v>
      </c>
      <c r="T192" s="82" t="s">
        <v>38</v>
      </c>
      <c r="U192" s="97">
        <v>1932</v>
      </c>
      <c r="V192" s="97">
        <v>1932</v>
      </c>
      <c r="W192" s="97" t="s">
        <v>39</v>
      </c>
      <c r="X192" s="97">
        <v>2023</v>
      </c>
      <c r="Y192" s="102" t="s">
        <v>1446</v>
      </c>
      <c r="Z192" s="102" t="s">
        <v>1447</v>
      </c>
    </row>
    <row r="193" spans="1:26" s="82" customFormat="1" ht="30" x14ac:dyDescent="0.25">
      <c r="A193" s="104" t="s">
        <v>1448</v>
      </c>
      <c r="B193" s="104" t="s">
        <v>1449</v>
      </c>
      <c r="C193" s="104" t="str">
        <f t="shared" si="6"/>
        <v>NCC-038  - Mason &amp; Dixon's Tangent Stone</v>
      </c>
      <c r="D193" s="106" t="s">
        <v>71</v>
      </c>
      <c r="E193" s="106" t="s">
        <v>71</v>
      </c>
      <c r="F193" s="107" t="s">
        <v>409</v>
      </c>
      <c r="G193" s="107"/>
      <c r="H193" s="106"/>
      <c r="I193" s="108" t="s">
        <v>1181</v>
      </c>
      <c r="J193" s="105">
        <v>8</v>
      </c>
      <c r="K193" s="105">
        <v>25</v>
      </c>
      <c r="L193" s="143" t="s">
        <v>1450</v>
      </c>
      <c r="M193" s="143" t="s">
        <v>1451</v>
      </c>
      <c r="N193" s="110" t="s">
        <v>1452</v>
      </c>
      <c r="O193" s="104"/>
      <c r="P193" s="104"/>
      <c r="Q193" s="104"/>
      <c r="R193" s="104" t="s">
        <v>37</v>
      </c>
      <c r="S193" s="104" t="s">
        <v>1453</v>
      </c>
      <c r="T193" s="104" t="s">
        <v>56</v>
      </c>
      <c r="U193" s="107">
        <v>1932</v>
      </c>
      <c r="V193" s="107">
        <v>1932</v>
      </c>
      <c r="W193" s="107" t="s">
        <v>66</v>
      </c>
      <c r="X193" s="107"/>
      <c r="Y193" s="111"/>
      <c r="Z193" s="111"/>
    </row>
    <row r="194" spans="1:26" s="104" customFormat="1" ht="30" x14ac:dyDescent="0.25">
      <c r="A194" s="104" t="s">
        <v>1454</v>
      </c>
      <c r="B194" s="104" t="s">
        <v>1455</v>
      </c>
      <c r="C194" s="104" t="str">
        <f t="shared" si="6"/>
        <v>NCC-039  - Welsh Tract</v>
      </c>
      <c r="D194" s="106" t="s">
        <v>71</v>
      </c>
      <c r="E194" s="106" t="s">
        <v>71</v>
      </c>
      <c r="F194" s="107" t="s">
        <v>409</v>
      </c>
      <c r="G194" s="107"/>
      <c r="H194" s="106"/>
      <c r="I194" s="108" t="s">
        <v>1181</v>
      </c>
      <c r="J194" s="105">
        <v>8</v>
      </c>
      <c r="K194" s="105">
        <v>25</v>
      </c>
      <c r="L194" s="143" t="s">
        <v>1456</v>
      </c>
      <c r="M194" s="143" t="s">
        <v>1457</v>
      </c>
      <c r="N194" s="110" t="s">
        <v>1458</v>
      </c>
      <c r="O194" s="104" t="s">
        <v>1428</v>
      </c>
      <c r="P194" s="104">
        <v>19713</v>
      </c>
      <c r="R194" s="104" t="s">
        <v>37</v>
      </c>
      <c r="S194" s="104" t="s">
        <v>1459</v>
      </c>
      <c r="T194" s="104" t="s">
        <v>56</v>
      </c>
      <c r="U194" s="107">
        <v>1932</v>
      </c>
      <c r="V194" s="107">
        <v>1932</v>
      </c>
      <c r="W194" s="107" t="s">
        <v>66</v>
      </c>
      <c r="X194" s="107"/>
      <c r="Y194" s="111"/>
      <c r="Z194" s="111"/>
    </row>
    <row r="195" spans="1:26" s="104" customFormat="1" ht="45" x14ac:dyDescent="0.25">
      <c r="A195" s="104" t="s">
        <v>1460</v>
      </c>
      <c r="B195" s="104" t="s">
        <v>1461</v>
      </c>
      <c r="C195" s="104" t="str">
        <f t="shared" si="6"/>
        <v>NCC-040  - Welsh Tract Church</v>
      </c>
      <c r="D195" s="106" t="s">
        <v>71</v>
      </c>
      <c r="E195" s="106" t="s">
        <v>98</v>
      </c>
      <c r="F195" s="107" t="s">
        <v>191</v>
      </c>
      <c r="G195" s="107"/>
      <c r="H195" s="106"/>
      <c r="I195" s="108" t="s">
        <v>1181</v>
      </c>
      <c r="J195" s="105">
        <v>8</v>
      </c>
      <c r="K195" s="105">
        <v>25</v>
      </c>
      <c r="L195" s="143" t="s">
        <v>1462</v>
      </c>
      <c r="M195" s="143" t="s">
        <v>1463</v>
      </c>
      <c r="N195" s="110" t="s">
        <v>1464</v>
      </c>
      <c r="O195" s="104" t="s">
        <v>1428</v>
      </c>
      <c r="P195" s="104">
        <v>19702</v>
      </c>
      <c r="R195" s="104" t="s">
        <v>37</v>
      </c>
      <c r="S195" s="104" t="s">
        <v>1465</v>
      </c>
      <c r="T195" s="104" t="s">
        <v>56</v>
      </c>
      <c r="U195" s="107">
        <v>1932</v>
      </c>
      <c r="V195" s="107">
        <v>1932</v>
      </c>
      <c r="W195" s="107" t="s">
        <v>66</v>
      </c>
      <c r="X195" s="107"/>
      <c r="Y195" s="111"/>
      <c r="Z195" s="111"/>
    </row>
    <row r="196" spans="1:26" s="104" customFormat="1" ht="45" x14ac:dyDescent="0.25">
      <c r="A196" s="82" t="s">
        <v>1466</v>
      </c>
      <c r="B196" s="82" t="s">
        <v>1467</v>
      </c>
      <c r="C196" s="82" t="str">
        <f t="shared" si="6"/>
        <v>NCC-041  - American Position Battle of Cooch's Bridge</v>
      </c>
      <c r="D196" s="96" t="s">
        <v>1468</v>
      </c>
      <c r="E196" s="96" t="s">
        <v>29</v>
      </c>
      <c r="F196" s="97" t="s">
        <v>30</v>
      </c>
      <c r="G196" s="97" t="s">
        <v>1154</v>
      </c>
      <c r="H196" s="96" t="s">
        <v>968</v>
      </c>
      <c r="I196" s="99" t="s">
        <v>1181</v>
      </c>
      <c r="J196" s="95">
        <v>11</v>
      </c>
      <c r="K196" s="95">
        <v>25</v>
      </c>
      <c r="L196" s="100" t="s">
        <v>1469</v>
      </c>
      <c r="M196" s="100" t="s">
        <v>1470</v>
      </c>
      <c r="N196" s="101" t="s">
        <v>1471</v>
      </c>
      <c r="O196" s="82" t="s">
        <v>1428</v>
      </c>
      <c r="P196" s="82">
        <v>19702</v>
      </c>
      <c r="Q196" s="82"/>
      <c r="R196" s="82" t="s">
        <v>37</v>
      </c>
      <c r="S196" s="82"/>
      <c r="T196" s="82" t="s">
        <v>38</v>
      </c>
      <c r="U196" s="97">
        <v>1932</v>
      </c>
      <c r="V196" s="97">
        <v>1932</v>
      </c>
      <c r="W196" s="97" t="s">
        <v>39</v>
      </c>
      <c r="X196" s="97" t="s">
        <v>1472</v>
      </c>
      <c r="Y196" s="131" t="s">
        <v>1473</v>
      </c>
      <c r="Z196" s="102" t="s">
        <v>1474</v>
      </c>
    </row>
    <row r="197" spans="1:26" s="82" customFormat="1" ht="45" x14ac:dyDescent="0.25">
      <c r="A197" s="82" t="s">
        <v>1475</v>
      </c>
      <c r="B197" s="82" t="s">
        <v>1476</v>
      </c>
      <c r="C197" s="82" t="str">
        <f t="shared" si="6"/>
        <v>NCC-042  - British Position, Battle of Cooch's Bridge</v>
      </c>
      <c r="D197" s="96" t="s">
        <v>1477</v>
      </c>
      <c r="E197" s="96" t="s">
        <v>29</v>
      </c>
      <c r="F197" s="97" t="s">
        <v>30</v>
      </c>
      <c r="G197" s="97" t="s">
        <v>1154</v>
      </c>
      <c r="H197" s="96" t="s">
        <v>530</v>
      </c>
      <c r="I197" s="99" t="s">
        <v>1181</v>
      </c>
      <c r="J197" s="95">
        <v>11</v>
      </c>
      <c r="K197" s="95">
        <v>25</v>
      </c>
      <c r="L197" s="100" t="s">
        <v>1478</v>
      </c>
      <c r="M197" s="100" t="s">
        <v>1479</v>
      </c>
      <c r="N197" s="101" t="s">
        <v>1480</v>
      </c>
      <c r="O197" s="82" t="s">
        <v>1428</v>
      </c>
      <c r="P197" s="82">
        <v>19702</v>
      </c>
      <c r="R197" s="82" t="s">
        <v>37</v>
      </c>
      <c r="T197" s="82" t="s">
        <v>38</v>
      </c>
      <c r="U197" s="97">
        <v>1932</v>
      </c>
      <c r="V197" s="97">
        <v>1932</v>
      </c>
      <c r="W197" s="97" t="s">
        <v>39</v>
      </c>
      <c r="X197" s="97" t="s">
        <v>1472</v>
      </c>
      <c r="Y197" s="102" t="s">
        <v>1481</v>
      </c>
      <c r="Z197" s="102" t="s">
        <v>1482</v>
      </c>
    </row>
    <row r="198" spans="1:26" s="82" customFormat="1" ht="30" x14ac:dyDescent="0.25">
      <c r="A198" s="149" t="s">
        <v>1483</v>
      </c>
      <c r="B198" s="149" t="s">
        <v>1484</v>
      </c>
      <c r="C198" s="149" t="str">
        <f t="shared" si="6"/>
        <v>NCC-043  - Aiken's Tavern</v>
      </c>
      <c r="D198" s="151" t="s">
        <v>1485</v>
      </c>
      <c r="E198" s="151" t="s">
        <v>66</v>
      </c>
      <c r="F198" s="152" t="s">
        <v>30</v>
      </c>
      <c r="G198" s="152"/>
      <c r="H198" s="151"/>
      <c r="I198" s="153" t="s">
        <v>1181</v>
      </c>
      <c r="J198" s="150">
        <v>11</v>
      </c>
      <c r="K198" s="150">
        <v>27</v>
      </c>
      <c r="L198" s="154">
        <v>39.607790000000001</v>
      </c>
      <c r="M198" s="154" t="s">
        <v>1486</v>
      </c>
      <c r="N198" s="156" t="s">
        <v>1487</v>
      </c>
      <c r="O198" s="149" t="s">
        <v>1428</v>
      </c>
      <c r="P198" s="149">
        <v>19702</v>
      </c>
      <c r="Q198" s="149"/>
      <c r="R198" s="149" t="s">
        <v>37</v>
      </c>
      <c r="S198" s="149" t="s">
        <v>1488</v>
      </c>
      <c r="T198" s="149" t="s">
        <v>56</v>
      </c>
      <c r="U198" s="152">
        <v>1932</v>
      </c>
      <c r="V198" s="152">
        <v>1932</v>
      </c>
      <c r="W198" s="152" t="s">
        <v>39</v>
      </c>
      <c r="X198" s="152">
        <v>2008</v>
      </c>
      <c r="Y198" s="155"/>
      <c r="Z198" s="155"/>
    </row>
    <row r="199" spans="1:26" s="149" customFormat="1" ht="30" x14ac:dyDescent="0.25">
      <c r="A199" s="104" t="s">
        <v>1489</v>
      </c>
      <c r="B199" s="104" t="s">
        <v>1358</v>
      </c>
      <c r="C199" s="104" t="str">
        <f t="shared" si="6"/>
        <v>NCC-044  - New Castle and Frenchtown Railroad</v>
      </c>
      <c r="D199" s="106" t="s">
        <v>71</v>
      </c>
      <c r="E199" s="106" t="s">
        <v>98</v>
      </c>
      <c r="F199" s="107" t="s">
        <v>30</v>
      </c>
      <c r="G199" s="107"/>
      <c r="H199" s="106"/>
      <c r="I199" s="108" t="s">
        <v>1181</v>
      </c>
      <c r="J199" s="105">
        <v>10</v>
      </c>
      <c r="K199" s="105">
        <v>27</v>
      </c>
      <c r="L199" s="143" t="s">
        <v>1490</v>
      </c>
      <c r="M199" s="143" t="s">
        <v>1491</v>
      </c>
      <c r="N199" s="110" t="s">
        <v>1492</v>
      </c>
      <c r="O199" s="104" t="s">
        <v>1428</v>
      </c>
      <c r="P199" s="104">
        <v>19702</v>
      </c>
      <c r="Q199" s="104"/>
      <c r="R199" s="104" t="s">
        <v>37</v>
      </c>
      <c r="S199" s="104"/>
      <c r="T199" s="104" t="s">
        <v>56</v>
      </c>
      <c r="U199" s="107">
        <v>1932</v>
      </c>
      <c r="V199" s="107">
        <v>1932</v>
      </c>
      <c r="W199" s="107" t="s">
        <v>66</v>
      </c>
      <c r="X199" s="107"/>
      <c r="Y199" s="111"/>
      <c r="Z199" s="111"/>
    </row>
    <row r="200" spans="1:26" s="104" customFormat="1" ht="45" x14ac:dyDescent="0.25">
      <c r="A200" s="104" t="s">
        <v>1493</v>
      </c>
      <c r="B200" s="104" t="s">
        <v>1494</v>
      </c>
      <c r="C200" s="104" t="str">
        <f t="shared" si="6"/>
        <v>NCC-045  - Washington Dined Here</v>
      </c>
      <c r="D200" s="106" t="s">
        <v>1495</v>
      </c>
      <c r="E200" s="106" t="s">
        <v>71</v>
      </c>
      <c r="F200" s="107" t="s">
        <v>30</v>
      </c>
      <c r="G200" s="107" t="s">
        <v>1154</v>
      </c>
      <c r="H200" s="106"/>
      <c r="I200" s="108" t="s">
        <v>1181</v>
      </c>
      <c r="J200" s="105">
        <v>10</v>
      </c>
      <c r="K200" s="105">
        <v>27</v>
      </c>
      <c r="L200" s="143" t="s">
        <v>1496</v>
      </c>
      <c r="M200" s="143" t="s">
        <v>1497</v>
      </c>
      <c r="N200" s="110" t="s">
        <v>1498</v>
      </c>
      <c r="O200" s="104" t="s">
        <v>1290</v>
      </c>
      <c r="P200" s="104">
        <v>19709</v>
      </c>
      <c r="R200" s="104" t="s">
        <v>37</v>
      </c>
      <c r="S200" s="104" t="s">
        <v>1499</v>
      </c>
      <c r="T200" s="104" t="s">
        <v>56</v>
      </c>
      <c r="U200" s="107">
        <v>1932</v>
      </c>
      <c r="V200" s="107">
        <v>1932</v>
      </c>
      <c r="W200" s="107" t="s">
        <v>66</v>
      </c>
      <c r="X200" s="107"/>
      <c r="Y200" s="111"/>
      <c r="Z200" s="111"/>
    </row>
    <row r="201" spans="1:26" s="104" customFormat="1" x14ac:dyDescent="0.25">
      <c r="A201" s="104" t="s">
        <v>1500</v>
      </c>
      <c r="B201" s="104" t="s">
        <v>1501</v>
      </c>
      <c r="C201" s="104" t="str">
        <f t="shared" si="6"/>
        <v>NCC-046  - Samuel Davies</v>
      </c>
      <c r="D201" s="106" t="s">
        <v>71</v>
      </c>
      <c r="E201" s="106" t="s">
        <v>71</v>
      </c>
      <c r="F201" s="107" t="s">
        <v>62</v>
      </c>
      <c r="G201" s="107"/>
      <c r="H201" s="106"/>
      <c r="I201" s="108" t="s">
        <v>1181</v>
      </c>
      <c r="J201" s="105">
        <v>12</v>
      </c>
      <c r="K201" s="105">
        <v>27</v>
      </c>
      <c r="L201" s="143" t="s">
        <v>1502</v>
      </c>
      <c r="M201" s="143" t="s">
        <v>1503</v>
      </c>
      <c r="N201" s="110" t="s">
        <v>1504</v>
      </c>
      <c r="O201" s="104" t="s">
        <v>1505</v>
      </c>
      <c r="P201" s="104">
        <v>19701</v>
      </c>
      <c r="R201" s="104" t="s">
        <v>37</v>
      </c>
      <c r="T201" s="104" t="s">
        <v>56</v>
      </c>
      <c r="U201" s="107">
        <v>1932</v>
      </c>
      <c r="V201" s="107">
        <v>1932</v>
      </c>
      <c r="W201" s="107" t="s">
        <v>66</v>
      </c>
      <c r="X201" s="107"/>
      <c r="Y201" s="111"/>
      <c r="Z201" s="111"/>
    </row>
    <row r="202" spans="1:26" s="104" customFormat="1" ht="45" x14ac:dyDescent="0.25">
      <c r="A202" s="82" t="s">
        <v>1506</v>
      </c>
      <c r="B202" s="82" t="s">
        <v>1455</v>
      </c>
      <c r="C202" s="82" t="str">
        <f t="shared" si="6"/>
        <v>NCC-047  - Welsh Tract</v>
      </c>
      <c r="D202" s="96" t="s">
        <v>1507</v>
      </c>
      <c r="E202" s="96" t="s">
        <v>130</v>
      </c>
      <c r="F202" s="97" t="s">
        <v>409</v>
      </c>
      <c r="G202" s="97"/>
      <c r="H202" s="96"/>
      <c r="I202" s="99" t="s">
        <v>1181</v>
      </c>
      <c r="J202" s="95">
        <v>10</v>
      </c>
      <c r="K202" s="95">
        <v>27</v>
      </c>
      <c r="L202" s="112">
        <v>39.518140000000002</v>
      </c>
      <c r="M202" s="112">
        <v>-75.714320000000001</v>
      </c>
      <c r="N202" s="101" t="s">
        <v>1508</v>
      </c>
      <c r="O202" s="82" t="s">
        <v>1290</v>
      </c>
      <c r="P202" s="82">
        <v>19709</v>
      </c>
      <c r="Q202" s="82"/>
      <c r="R202" s="82" t="s">
        <v>37</v>
      </c>
      <c r="S202" s="82" t="s">
        <v>1509</v>
      </c>
      <c r="T202" s="82" t="s">
        <v>56</v>
      </c>
      <c r="U202" s="97">
        <v>1932</v>
      </c>
      <c r="V202" s="97">
        <v>1932</v>
      </c>
      <c r="W202" s="97" t="s">
        <v>66</v>
      </c>
      <c r="X202" s="97"/>
      <c r="Y202" s="103" t="s">
        <v>1510</v>
      </c>
      <c r="Z202" s="102" t="s">
        <v>1511</v>
      </c>
    </row>
    <row r="203" spans="1:26" s="82" customFormat="1" ht="45" x14ac:dyDescent="0.25">
      <c r="A203" s="104" t="s">
        <v>1512</v>
      </c>
      <c r="B203" s="104" t="s">
        <v>1513</v>
      </c>
      <c r="C203" s="104" t="str">
        <f t="shared" si="6"/>
        <v>NCC-048  - Caeser Rodney's Camp 1777</v>
      </c>
      <c r="D203" s="106" t="s">
        <v>71</v>
      </c>
      <c r="E203" s="106" t="s">
        <v>71</v>
      </c>
      <c r="F203" s="107" t="s">
        <v>30</v>
      </c>
      <c r="G203" s="107" t="s">
        <v>1154</v>
      </c>
      <c r="H203" s="106"/>
      <c r="I203" s="108" t="s">
        <v>1181</v>
      </c>
      <c r="J203" s="105">
        <v>10</v>
      </c>
      <c r="K203" s="105">
        <v>11</v>
      </c>
      <c r="L203" s="109">
        <v>39.430979999999998</v>
      </c>
      <c r="M203" s="109">
        <v>-75.709540000000004</v>
      </c>
      <c r="N203" s="110" t="s">
        <v>1514</v>
      </c>
      <c r="O203" s="104" t="s">
        <v>1515</v>
      </c>
      <c r="P203" s="104">
        <v>19734</v>
      </c>
      <c r="Q203" s="104"/>
      <c r="R203" s="104" t="s">
        <v>37</v>
      </c>
      <c r="S203" s="104" t="s">
        <v>1516</v>
      </c>
      <c r="T203" s="104" t="s">
        <v>56</v>
      </c>
      <c r="U203" s="107">
        <v>1932</v>
      </c>
      <c r="V203" s="107">
        <v>1932</v>
      </c>
      <c r="W203" s="107" t="s">
        <v>66</v>
      </c>
      <c r="X203" s="107"/>
      <c r="Y203" s="111"/>
      <c r="Z203" s="111"/>
    </row>
    <row r="204" spans="1:26" s="104" customFormat="1" ht="60" x14ac:dyDescent="0.25">
      <c r="A204" s="104" t="s">
        <v>1517</v>
      </c>
      <c r="B204" s="104" t="s">
        <v>1518</v>
      </c>
      <c r="C204" s="104" t="str">
        <f t="shared" si="6"/>
        <v>NCC-049  - Washington's Fortifications</v>
      </c>
      <c r="D204" s="106" t="s">
        <v>71</v>
      </c>
      <c r="E204" s="106" t="s">
        <v>71</v>
      </c>
      <c r="F204" s="107" t="s">
        <v>30</v>
      </c>
      <c r="G204" s="107" t="s">
        <v>1154</v>
      </c>
      <c r="H204" s="106"/>
      <c r="I204" s="108" t="s">
        <v>1181</v>
      </c>
      <c r="J204" s="105">
        <v>7</v>
      </c>
      <c r="K204" s="105">
        <v>19</v>
      </c>
      <c r="L204" s="143" t="s">
        <v>1519</v>
      </c>
      <c r="M204" s="143" t="s">
        <v>1520</v>
      </c>
      <c r="N204" s="110" t="s">
        <v>1521</v>
      </c>
      <c r="O204" s="104" t="s">
        <v>1205</v>
      </c>
      <c r="P204" s="104">
        <v>19804</v>
      </c>
      <c r="R204" s="104" t="s">
        <v>37</v>
      </c>
      <c r="S204" s="104" t="s">
        <v>1522</v>
      </c>
      <c r="T204" s="104" t="s">
        <v>56</v>
      </c>
      <c r="U204" s="107">
        <v>1932</v>
      </c>
      <c r="V204" s="107">
        <v>1932</v>
      </c>
      <c r="W204" s="107" t="s">
        <v>66</v>
      </c>
      <c r="X204" s="107"/>
      <c r="Y204" s="111"/>
      <c r="Z204" s="111"/>
    </row>
    <row r="205" spans="1:26" s="104" customFormat="1" ht="38.25" x14ac:dyDescent="0.25">
      <c r="A205" s="149" t="s">
        <v>1523</v>
      </c>
      <c r="B205" s="149" t="s">
        <v>1524</v>
      </c>
      <c r="C205" s="149" t="str">
        <f t="shared" si="6"/>
        <v>NCC-050  - Meeting Place Of Washington's Officers</v>
      </c>
      <c r="D205" s="151" t="s">
        <v>1525</v>
      </c>
      <c r="E205" s="151" t="s">
        <v>66</v>
      </c>
      <c r="F205" s="152" t="s">
        <v>30</v>
      </c>
      <c r="G205" s="152"/>
      <c r="H205" s="151"/>
      <c r="I205" s="153" t="s">
        <v>1181</v>
      </c>
      <c r="J205" s="150">
        <v>9</v>
      </c>
      <c r="K205" s="150">
        <v>17</v>
      </c>
      <c r="L205" s="154" t="s">
        <v>1526</v>
      </c>
      <c r="M205" s="154" t="s">
        <v>1527</v>
      </c>
      <c r="N205" s="156" t="s">
        <v>1528</v>
      </c>
      <c r="O205" s="149" t="s">
        <v>1428</v>
      </c>
      <c r="P205" s="149">
        <v>19713</v>
      </c>
      <c r="Q205" s="149"/>
      <c r="R205" s="149" t="s">
        <v>37</v>
      </c>
      <c r="S205" s="149"/>
      <c r="T205" s="149" t="s">
        <v>56</v>
      </c>
      <c r="U205" s="152">
        <v>1932</v>
      </c>
      <c r="V205" s="152">
        <v>1932</v>
      </c>
      <c r="W205" s="152" t="s">
        <v>66</v>
      </c>
      <c r="X205" s="152"/>
      <c r="Y205" s="155"/>
      <c r="Z205" s="155"/>
    </row>
    <row r="206" spans="1:26" s="149" customFormat="1" ht="75" x14ac:dyDescent="0.2">
      <c r="A206" s="82" t="s">
        <v>1523</v>
      </c>
      <c r="B206" s="82" t="s">
        <v>1529</v>
      </c>
      <c r="C206" s="82" t="str">
        <f t="shared" si="6"/>
        <v>NCC-050  - Hale-Byrnes House (Originally: Meeting Place of Washington's Officers - Changed in 1973</v>
      </c>
      <c r="D206" s="96" t="s">
        <v>1530</v>
      </c>
      <c r="E206" s="96" t="s">
        <v>29</v>
      </c>
      <c r="F206" s="97" t="s">
        <v>30</v>
      </c>
      <c r="G206" s="97" t="s">
        <v>1154</v>
      </c>
      <c r="H206" s="96" t="s">
        <v>1531</v>
      </c>
      <c r="I206" s="99" t="s">
        <v>1181</v>
      </c>
      <c r="J206" s="95">
        <v>9</v>
      </c>
      <c r="K206" s="95">
        <v>17</v>
      </c>
      <c r="L206" s="112">
        <v>39.701450000000001</v>
      </c>
      <c r="M206" s="112">
        <v>-75.650710000000004</v>
      </c>
      <c r="N206" s="101" t="s">
        <v>1532</v>
      </c>
      <c r="O206" s="82" t="s">
        <v>1428</v>
      </c>
      <c r="P206" s="82">
        <v>19713</v>
      </c>
      <c r="Q206" s="82"/>
      <c r="R206" s="82" t="s">
        <v>37</v>
      </c>
      <c r="S206" s="82" t="s">
        <v>1533</v>
      </c>
      <c r="T206" s="82" t="s">
        <v>56</v>
      </c>
      <c r="U206" s="97">
        <v>1932</v>
      </c>
      <c r="V206" s="97">
        <v>1932</v>
      </c>
      <c r="W206" s="97" t="s">
        <v>39</v>
      </c>
      <c r="X206" s="97" t="s">
        <v>1534</v>
      </c>
      <c r="Y206" s="102" t="s">
        <v>1535</v>
      </c>
      <c r="Z206" s="148" t="s">
        <v>1536</v>
      </c>
    </row>
    <row r="207" spans="1:26" s="82" customFormat="1" ht="45" x14ac:dyDescent="0.25">
      <c r="A207" s="82" t="s">
        <v>1537</v>
      </c>
      <c r="B207" s="82" t="s">
        <v>1538</v>
      </c>
      <c r="C207" s="82" t="str">
        <f t="shared" si="6"/>
        <v>NCC-051  - Lafayette</v>
      </c>
      <c r="D207" s="96" t="s">
        <v>1539</v>
      </c>
      <c r="E207" s="96" t="s">
        <v>29</v>
      </c>
      <c r="F207" s="97" t="s">
        <v>62</v>
      </c>
      <c r="G207" s="97"/>
      <c r="H207" s="96"/>
      <c r="I207" s="99" t="s">
        <v>1181</v>
      </c>
      <c r="J207" s="95">
        <v>9</v>
      </c>
      <c r="K207" s="95">
        <v>18</v>
      </c>
      <c r="L207" s="100" t="s">
        <v>1540</v>
      </c>
      <c r="M207" s="100" t="s">
        <v>1541</v>
      </c>
      <c r="N207" s="101" t="s">
        <v>1542</v>
      </c>
      <c r="O207" s="82" t="s">
        <v>1428</v>
      </c>
      <c r="P207" s="82">
        <v>19713</v>
      </c>
      <c r="R207" s="82" t="s">
        <v>37</v>
      </c>
      <c r="S207" s="82" t="s">
        <v>1543</v>
      </c>
      <c r="T207" s="82" t="s">
        <v>56</v>
      </c>
      <c r="U207" s="97">
        <v>1932</v>
      </c>
      <c r="V207" s="97">
        <v>1932</v>
      </c>
      <c r="W207" s="97" t="s">
        <v>39</v>
      </c>
      <c r="X207" s="97">
        <v>2018</v>
      </c>
      <c r="Y207" s="102" t="s">
        <v>1544</v>
      </c>
      <c r="Z207" s="102" t="s">
        <v>1545</v>
      </c>
    </row>
    <row r="208" spans="1:26" s="82" customFormat="1" ht="45" x14ac:dyDescent="0.25">
      <c r="A208" s="82" t="s">
        <v>1546</v>
      </c>
      <c r="B208" s="82" t="s">
        <v>1547</v>
      </c>
      <c r="C208" s="82" t="str">
        <f t="shared" si="6"/>
        <v>NCC-052  - Samuel Patterson</v>
      </c>
      <c r="D208" s="96" t="s">
        <v>1548</v>
      </c>
      <c r="E208" s="96" t="s">
        <v>29</v>
      </c>
      <c r="F208" s="97" t="s">
        <v>62</v>
      </c>
      <c r="G208" s="97"/>
      <c r="H208" s="96" t="s">
        <v>642</v>
      </c>
      <c r="I208" s="99" t="s">
        <v>1181</v>
      </c>
      <c r="J208" s="95">
        <v>9</v>
      </c>
      <c r="K208" s="95">
        <v>18</v>
      </c>
      <c r="L208" s="112">
        <v>39.667259999999999</v>
      </c>
      <c r="M208" s="112">
        <v>-75.664439999999999</v>
      </c>
      <c r="N208" s="101" t="s">
        <v>1549</v>
      </c>
      <c r="O208" s="82" t="s">
        <v>1550</v>
      </c>
      <c r="P208" s="82">
        <v>19702</v>
      </c>
      <c r="R208" s="82" t="s">
        <v>37</v>
      </c>
      <c r="S208" s="82" t="s">
        <v>1551</v>
      </c>
      <c r="T208" s="82" t="s">
        <v>38</v>
      </c>
      <c r="U208" s="97">
        <v>1932</v>
      </c>
      <c r="V208" s="97">
        <v>1932</v>
      </c>
      <c r="W208" s="97" t="s">
        <v>39</v>
      </c>
      <c r="X208" s="97" t="s">
        <v>1552</v>
      </c>
      <c r="Y208" s="102" t="s">
        <v>1553</v>
      </c>
      <c r="Z208" s="102" t="s">
        <v>1554</v>
      </c>
    </row>
    <row r="209" spans="1:26" s="82" customFormat="1" ht="45" x14ac:dyDescent="0.25">
      <c r="A209" s="82" t="s">
        <v>1555</v>
      </c>
      <c r="B209" s="82" t="s">
        <v>1556</v>
      </c>
      <c r="C209" s="82" t="str">
        <f t="shared" si="6"/>
        <v>NCC-053  - Washington's Reconnaissance</v>
      </c>
      <c r="D209" s="96" t="s">
        <v>1557</v>
      </c>
      <c r="E209" s="96" t="s">
        <v>29</v>
      </c>
      <c r="F209" s="97" t="s">
        <v>30</v>
      </c>
      <c r="G209" s="97" t="s">
        <v>1154</v>
      </c>
      <c r="H209" s="96" t="s">
        <v>1558</v>
      </c>
      <c r="I209" s="99" t="s">
        <v>1181</v>
      </c>
      <c r="J209" s="95">
        <v>11</v>
      </c>
      <c r="K209" s="95">
        <v>25</v>
      </c>
      <c r="L209" s="100" t="s">
        <v>1559</v>
      </c>
      <c r="M209" s="100" t="s">
        <v>1560</v>
      </c>
      <c r="N209" s="101" t="s">
        <v>1561</v>
      </c>
      <c r="O209" s="82" t="s">
        <v>1428</v>
      </c>
      <c r="P209" s="82">
        <v>19702</v>
      </c>
      <c r="R209" s="82" t="s">
        <v>37</v>
      </c>
      <c r="T209" s="82" t="s">
        <v>56</v>
      </c>
      <c r="U209" s="97">
        <v>1932</v>
      </c>
      <c r="V209" s="97">
        <v>1932</v>
      </c>
      <c r="W209" s="97" t="s">
        <v>66</v>
      </c>
      <c r="X209" s="97"/>
      <c r="Y209" s="102" t="s">
        <v>1562</v>
      </c>
      <c r="Z209" s="102" t="s">
        <v>1563</v>
      </c>
    </row>
    <row r="210" spans="1:26" s="82" customFormat="1" ht="75" x14ac:dyDescent="0.25">
      <c r="A210" s="104" t="s">
        <v>1564</v>
      </c>
      <c r="B210" s="104" t="s">
        <v>1565</v>
      </c>
      <c r="C210" s="104" t="str">
        <f t="shared" si="6"/>
        <v>NCC-054  - Iron Hill</v>
      </c>
      <c r="D210" s="106" t="s">
        <v>1566</v>
      </c>
      <c r="E210" s="106" t="s">
        <v>71</v>
      </c>
      <c r="F210" s="107" t="s">
        <v>409</v>
      </c>
      <c r="G210" s="107"/>
      <c r="H210" s="106"/>
      <c r="I210" s="108" t="s">
        <v>1181</v>
      </c>
      <c r="J210" s="105">
        <v>11</v>
      </c>
      <c r="K210" s="105">
        <v>25</v>
      </c>
      <c r="L210" s="143" t="s">
        <v>1567</v>
      </c>
      <c r="M210" s="143" t="s">
        <v>1568</v>
      </c>
      <c r="N210" s="110" t="s">
        <v>1569</v>
      </c>
      <c r="O210" s="104" t="s">
        <v>1428</v>
      </c>
      <c r="P210" s="104">
        <v>19702</v>
      </c>
      <c r="Q210" s="104"/>
      <c r="R210" s="104" t="s">
        <v>37</v>
      </c>
      <c r="S210" s="144" t="s">
        <v>1570</v>
      </c>
      <c r="T210" s="104" t="s">
        <v>56</v>
      </c>
      <c r="U210" s="107">
        <v>1932</v>
      </c>
      <c r="V210" s="107">
        <v>1932</v>
      </c>
      <c r="W210" s="107" t="s">
        <v>66</v>
      </c>
      <c r="X210" s="107"/>
      <c r="Y210" s="111"/>
      <c r="Z210" s="111"/>
    </row>
    <row r="211" spans="1:26" s="104" customFormat="1" ht="30" x14ac:dyDescent="0.25">
      <c r="A211" s="104" t="s">
        <v>1571</v>
      </c>
      <c r="B211" s="104" t="s">
        <v>1572</v>
      </c>
      <c r="C211" s="104" t="str">
        <f t="shared" si="6"/>
        <v>NCC-055  - Mason Dixon Line</v>
      </c>
      <c r="D211" s="106" t="s">
        <v>1573</v>
      </c>
      <c r="E211" s="106" t="s">
        <v>71</v>
      </c>
      <c r="F211" s="107" t="s">
        <v>409</v>
      </c>
      <c r="G211" s="107"/>
      <c r="H211" s="106"/>
      <c r="I211" s="108" t="s">
        <v>1181</v>
      </c>
      <c r="J211" s="105">
        <v>11</v>
      </c>
      <c r="K211" s="105">
        <v>25</v>
      </c>
      <c r="L211" s="143" t="s">
        <v>1574</v>
      </c>
      <c r="M211" s="143" t="s">
        <v>1575</v>
      </c>
      <c r="N211" s="110" t="s">
        <v>1576</v>
      </c>
      <c r="O211" s="104" t="s">
        <v>1428</v>
      </c>
      <c r="P211" s="104">
        <v>19702</v>
      </c>
      <c r="R211" s="104" t="s">
        <v>37</v>
      </c>
      <c r="S211" s="104" t="s">
        <v>1577</v>
      </c>
      <c r="T211" s="104" t="s">
        <v>56</v>
      </c>
      <c r="U211" s="107">
        <v>1932</v>
      </c>
      <c r="V211" s="107">
        <v>1932</v>
      </c>
      <c r="W211" s="107" t="s">
        <v>66</v>
      </c>
      <c r="X211" s="107"/>
      <c r="Y211" s="111"/>
      <c r="Z211" s="111"/>
    </row>
    <row r="212" spans="1:26" s="104" customFormat="1" ht="30" x14ac:dyDescent="0.25">
      <c r="A212" s="104" t="s">
        <v>1578</v>
      </c>
      <c r="B212" s="104" t="s">
        <v>1579</v>
      </c>
      <c r="C212" s="104" t="str">
        <f t="shared" ref="C212:C243" si="7">A212 &amp; " - " &amp; B212</f>
        <v>NCC-056  - Bethel Church (Hare's Corner)</v>
      </c>
      <c r="D212" s="106" t="s">
        <v>1580</v>
      </c>
      <c r="E212" s="106" t="s">
        <v>71</v>
      </c>
      <c r="F212" s="107" t="s">
        <v>191</v>
      </c>
      <c r="G212" s="107"/>
      <c r="H212" s="106"/>
      <c r="I212" s="108" t="s">
        <v>1181</v>
      </c>
      <c r="J212" s="105">
        <v>13</v>
      </c>
      <c r="K212" s="105">
        <v>17</v>
      </c>
      <c r="L212" s="143" t="s">
        <v>1581</v>
      </c>
      <c r="M212" s="143" t="s">
        <v>1582</v>
      </c>
      <c r="N212" s="110" t="s">
        <v>1583</v>
      </c>
      <c r="O212" s="104" t="s">
        <v>1268</v>
      </c>
      <c r="P212" s="104">
        <v>19720</v>
      </c>
      <c r="R212" s="104" t="s">
        <v>37</v>
      </c>
      <c r="S212" s="110" t="s">
        <v>1584</v>
      </c>
      <c r="T212" s="104" t="s">
        <v>56</v>
      </c>
      <c r="U212" s="107">
        <v>1932</v>
      </c>
      <c r="V212" s="107">
        <v>1932</v>
      </c>
      <c r="W212" s="107" t="s">
        <v>66</v>
      </c>
      <c r="X212" s="107"/>
      <c r="Y212" s="111"/>
      <c r="Z212" s="111"/>
    </row>
    <row r="213" spans="1:26" s="104" customFormat="1" x14ac:dyDescent="0.25">
      <c r="A213" s="104" t="s">
        <v>1585</v>
      </c>
      <c r="B213" s="104" t="s">
        <v>1586</v>
      </c>
      <c r="C213" s="104" t="str">
        <f t="shared" si="7"/>
        <v>NCC-057  - The Bear</v>
      </c>
      <c r="D213" s="106" t="s">
        <v>1587</v>
      </c>
      <c r="E213" s="106" t="s">
        <v>71</v>
      </c>
      <c r="F213" s="107" t="s">
        <v>30</v>
      </c>
      <c r="G213" s="107"/>
      <c r="H213" s="106"/>
      <c r="I213" s="108" t="s">
        <v>1181</v>
      </c>
      <c r="J213" s="105">
        <v>11</v>
      </c>
      <c r="K213" s="105">
        <v>5</v>
      </c>
      <c r="L213" s="143" t="s">
        <v>1588</v>
      </c>
      <c r="M213" s="143" t="s">
        <v>1589</v>
      </c>
      <c r="N213" s="110" t="s">
        <v>1590</v>
      </c>
      <c r="O213" s="104" t="s">
        <v>1428</v>
      </c>
      <c r="P213" s="104">
        <v>19702</v>
      </c>
      <c r="R213" s="104" t="s">
        <v>37</v>
      </c>
      <c r="S213" s="110" t="s">
        <v>1591</v>
      </c>
      <c r="T213" s="104" t="s">
        <v>56</v>
      </c>
      <c r="U213" s="107">
        <v>1932</v>
      </c>
      <c r="V213" s="107">
        <v>1932</v>
      </c>
      <c r="W213" s="107" t="s">
        <v>66</v>
      </c>
      <c r="X213" s="107"/>
      <c r="Y213" s="111"/>
      <c r="Z213" s="111"/>
    </row>
    <row r="214" spans="1:26" s="104" customFormat="1" ht="30" x14ac:dyDescent="0.25">
      <c r="A214" s="149" t="s">
        <v>1592</v>
      </c>
      <c r="B214" s="149" t="s">
        <v>1593</v>
      </c>
      <c r="C214" s="149" t="str">
        <f t="shared" si="7"/>
        <v>NCC-058  - Pencader Church</v>
      </c>
      <c r="D214" s="151" t="s">
        <v>1594</v>
      </c>
      <c r="E214" s="151" t="s">
        <v>66</v>
      </c>
      <c r="F214" s="152" t="s">
        <v>191</v>
      </c>
      <c r="G214" s="152"/>
      <c r="H214" s="151"/>
      <c r="I214" s="153" t="s">
        <v>1181</v>
      </c>
      <c r="J214" s="150">
        <v>11</v>
      </c>
      <c r="K214" s="150">
        <v>27</v>
      </c>
      <c r="L214" s="154" t="s">
        <v>1595</v>
      </c>
      <c r="M214" s="154" t="s">
        <v>1596</v>
      </c>
      <c r="N214" s="156" t="s">
        <v>1597</v>
      </c>
      <c r="O214" s="149" t="s">
        <v>1428</v>
      </c>
      <c r="P214" s="149">
        <v>19702</v>
      </c>
      <c r="Q214" s="149"/>
      <c r="R214" s="149" t="s">
        <v>37</v>
      </c>
      <c r="S214" s="149"/>
      <c r="T214" s="149" t="s">
        <v>56</v>
      </c>
      <c r="U214" s="152">
        <v>1932</v>
      </c>
      <c r="V214" s="152">
        <v>1932</v>
      </c>
      <c r="W214" s="152" t="s">
        <v>66</v>
      </c>
      <c r="X214" s="152"/>
      <c r="Y214" s="155"/>
      <c r="Z214" s="155"/>
    </row>
    <row r="215" spans="1:26" s="149" customFormat="1" ht="45" x14ac:dyDescent="0.25">
      <c r="A215" s="104" t="s">
        <v>1598</v>
      </c>
      <c r="B215" s="104" t="s">
        <v>1599</v>
      </c>
      <c r="C215" s="104" t="str">
        <f t="shared" si="7"/>
        <v>NCC-059  - Old Feeder Canal</v>
      </c>
      <c r="D215" s="106" t="s">
        <v>1580</v>
      </c>
      <c r="E215" s="106" t="s">
        <v>71</v>
      </c>
      <c r="F215" s="107" t="s">
        <v>30</v>
      </c>
      <c r="G215" s="107"/>
      <c r="H215" s="106"/>
      <c r="I215" s="108" t="s">
        <v>1181</v>
      </c>
      <c r="J215" s="105">
        <v>11</v>
      </c>
      <c r="K215" s="105">
        <v>25</v>
      </c>
      <c r="L215" s="143" t="s">
        <v>1600</v>
      </c>
      <c r="M215" s="143" t="s">
        <v>1601</v>
      </c>
      <c r="N215" s="110" t="s">
        <v>1602</v>
      </c>
      <c r="O215" s="104" t="s">
        <v>1428</v>
      </c>
      <c r="P215" s="104">
        <v>19702</v>
      </c>
      <c r="Q215" s="104"/>
      <c r="R215" s="104" t="s">
        <v>37</v>
      </c>
      <c r="S215" s="144" t="s">
        <v>1603</v>
      </c>
      <c r="T215" s="104" t="s">
        <v>56</v>
      </c>
      <c r="U215" s="107">
        <v>1932</v>
      </c>
      <c r="V215" s="107">
        <v>1932</v>
      </c>
      <c r="W215" s="107" t="s">
        <v>66</v>
      </c>
      <c r="X215" s="107"/>
      <c r="Y215" s="111"/>
      <c r="Z215" s="111"/>
    </row>
    <row r="216" spans="1:26" s="104" customFormat="1" ht="45" x14ac:dyDescent="0.25">
      <c r="A216" s="82" t="s">
        <v>1604</v>
      </c>
      <c r="B216" s="82" t="s">
        <v>1605</v>
      </c>
      <c r="C216" s="82" t="str">
        <f t="shared" si="7"/>
        <v>NCC-060  - du Pont Powder Mills</v>
      </c>
      <c r="D216" s="115" t="s">
        <v>1606</v>
      </c>
      <c r="E216" s="96" t="s">
        <v>29</v>
      </c>
      <c r="F216" s="97" t="s">
        <v>30</v>
      </c>
      <c r="G216" s="97"/>
      <c r="H216" s="96" t="s">
        <v>1607</v>
      </c>
      <c r="I216" s="99" t="s">
        <v>1181</v>
      </c>
      <c r="J216" s="95">
        <v>4</v>
      </c>
      <c r="K216" s="95">
        <v>12</v>
      </c>
      <c r="L216" s="100" t="s">
        <v>1608</v>
      </c>
      <c r="M216" s="100" t="s">
        <v>1609</v>
      </c>
      <c r="N216" s="101" t="s">
        <v>1610</v>
      </c>
      <c r="O216" s="82" t="s">
        <v>1205</v>
      </c>
      <c r="P216" s="82">
        <v>19807</v>
      </c>
      <c r="Q216" s="82" t="s">
        <v>1611</v>
      </c>
      <c r="R216" s="82" t="s">
        <v>1612</v>
      </c>
      <c r="S216" s="82" t="s">
        <v>1613</v>
      </c>
      <c r="T216" s="82" t="s">
        <v>38</v>
      </c>
      <c r="U216" s="97">
        <v>1934</v>
      </c>
      <c r="V216" s="97">
        <v>1934</v>
      </c>
      <c r="W216" s="97" t="s">
        <v>39</v>
      </c>
      <c r="X216" s="97">
        <v>2023</v>
      </c>
      <c r="Y216" s="131" t="s">
        <v>1614</v>
      </c>
      <c r="Z216" s="102" t="s">
        <v>1615</v>
      </c>
    </row>
    <row r="217" spans="1:26" s="82" customFormat="1" x14ac:dyDescent="0.25">
      <c r="A217" s="104" t="s">
        <v>1616</v>
      </c>
      <c r="B217" s="104" t="s">
        <v>1205</v>
      </c>
      <c r="C217" s="104" t="str">
        <f t="shared" si="7"/>
        <v>NCC-061  - Wilmington</v>
      </c>
      <c r="D217" s="106" t="s">
        <v>71</v>
      </c>
      <c r="E217" s="106" t="s">
        <v>71</v>
      </c>
      <c r="F217" s="107" t="s">
        <v>205</v>
      </c>
      <c r="G217" s="107"/>
      <c r="H217" s="106"/>
      <c r="I217" s="108" t="s">
        <v>1181</v>
      </c>
      <c r="J217" s="105">
        <v>2</v>
      </c>
      <c r="K217" s="105">
        <v>16</v>
      </c>
      <c r="L217" s="143" t="s">
        <v>1617</v>
      </c>
      <c r="M217" s="143" t="s">
        <v>1618</v>
      </c>
      <c r="N217" s="110" t="s">
        <v>1619</v>
      </c>
      <c r="O217" s="104" t="s">
        <v>1205</v>
      </c>
      <c r="P217" s="104">
        <v>19801</v>
      </c>
      <c r="Q217" s="104"/>
      <c r="R217" s="104" t="s">
        <v>37</v>
      </c>
      <c r="S217" s="110" t="s">
        <v>1620</v>
      </c>
      <c r="T217" s="104" t="s">
        <v>56</v>
      </c>
      <c r="U217" s="107">
        <v>1938</v>
      </c>
      <c r="V217" s="107">
        <v>1938</v>
      </c>
      <c r="W217" s="107" t="s">
        <v>66</v>
      </c>
      <c r="X217" s="107"/>
      <c r="Y217" s="111"/>
      <c r="Z217" s="111"/>
    </row>
    <row r="218" spans="1:26" s="104" customFormat="1" x14ac:dyDescent="0.25">
      <c r="A218" s="104" t="s">
        <v>1621</v>
      </c>
      <c r="B218" s="104" t="s">
        <v>1205</v>
      </c>
      <c r="C218" s="104" t="str">
        <f t="shared" si="7"/>
        <v>NCC-062  - Wilmington</v>
      </c>
      <c r="D218" s="106" t="s">
        <v>71</v>
      </c>
      <c r="E218" s="106" t="s">
        <v>71</v>
      </c>
      <c r="F218" s="107" t="s">
        <v>205</v>
      </c>
      <c r="G218" s="107"/>
      <c r="H218" s="106"/>
      <c r="I218" s="108" t="s">
        <v>1181</v>
      </c>
      <c r="J218" s="105">
        <v>2</v>
      </c>
      <c r="K218" s="105">
        <v>16</v>
      </c>
      <c r="L218" s="143" t="s">
        <v>1622</v>
      </c>
      <c r="M218" s="143" t="s">
        <v>1623</v>
      </c>
      <c r="N218" s="110" t="s">
        <v>1624</v>
      </c>
      <c r="O218" s="104" t="s">
        <v>1205</v>
      </c>
      <c r="P218" s="104">
        <v>19801</v>
      </c>
      <c r="R218" s="104" t="s">
        <v>37</v>
      </c>
      <c r="S218" s="110" t="s">
        <v>1625</v>
      </c>
      <c r="T218" s="104" t="s">
        <v>56</v>
      </c>
      <c r="U218" s="107">
        <v>1938</v>
      </c>
      <c r="V218" s="107">
        <v>1938</v>
      </c>
      <c r="W218" s="107" t="s">
        <v>66</v>
      </c>
      <c r="X218" s="107"/>
      <c r="Y218" s="111"/>
      <c r="Z218" s="111"/>
    </row>
    <row r="219" spans="1:26" s="104" customFormat="1" x14ac:dyDescent="0.25">
      <c r="A219" s="104" t="s">
        <v>1626</v>
      </c>
      <c r="B219" s="104" t="s">
        <v>1205</v>
      </c>
      <c r="C219" s="104" t="str">
        <f t="shared" si="7"/>
        <v>NCC-063  - Wilmington</v>
      </c>
      <c r="D219" s="106" t="s">
        <v>71</v>
      </c>
      <c r="E219" s="106" t="s">
        <v>71</v>
      </c>
      <c r="F219" s="107" t="s">
        <v>205</v>
      </c>
      <c r="G219" s="107"/>
      <c r="H219" s="106"/>
      <c r="I219" s="108" t="s">
        <v>1181</v>
      </c>
      <c r="J219" s="105">
        <v>2</v>
      </c>
      <c r="K219" s="105">
        <v>1</v>
      </c>
      <c r="L219" s="143" t="s">
        <v>1627</v>
      </c>
      <c r="M219" s="143" t="s">
        <v>1628</v>
      </c>
      <c r="N219" s="110" t="s">
        <v>1629</v>
      </c>
      <c r="O219" s="104" t="s">
        <v>1205</v>
      </c>
      <c r="P219" s="104">
        <v>19802</v>
      </c>
      <c r="R219" s="104" t="s">
        <v>37</v>
      </c>
      <c r="S219" s="110" t="s">
        <v>1630</v>
      </c>
      <c r="T219" s="104" t="s">
        <v>56</v>
      </c>
      <c r="U219" s="107">
        <v>1938</v>
      </c>
      <c r="V219" s="107">
        <v>1938</v>
      </c>
      <c r="W219" s="107" t="s">
        <v>66</v>
      </c>
      <c r="X219" s="107"/>
      <c r="Y219" s="111"/>
      <c r="Z219" s="111"/>
    </row>
    <row r="220" spans="1:26" s="104" customFormat="1" x14ac:dyDescent="0.25">
      <c r="A220" s="104" t="s">
        <v>1631</v>
      </c>
      <c r="B220" s="104" t="s">
        <v>1205</v>
      </c>
      <c r="C220" s="104" t="str">
        <f t="shared" si="7"/>
        <v>NCC-064  - Wilmington</v>
      </c>
      <c r="D220" s="106" t="s">
        <v>71</v>
      </c>
      <c r="E220" s="106" t="s">
        <v>71</v>
      </c>
      <c r="F220" s="107" t="s">
        <v>205</v>
      </c>
      <c r="G220" s="107"/>
      <c r="H220" s="106"/>
      <c r="I220" s="108" t="s">
        <v>1181</v>
      </c>
      <c r="J220" s="105">
        <v>2</v>
      </c>
      <c r="K220" s="105">
        <v>1</v>
      </c>
      <c r="L220" s="143" t="s">
        <v>1632</v>
      </c>
      <c r="M220" s="105">
        <v>-75.520630999999995</v>
      </c>
      <c r="N220" s="110" t="s">
        <v>1633</v>
      </c>
      <c r="O220" s="104" t="s">
        <v>1205</v>
      </c>
      <c r="P220" s="104">
        <v>19802</v>
      </c>
      <c r="R220" s="104" t="s">
        <v>37</v>
      </c>
      <c r="S220" s="110" t="s">
        <v>1634</v>
      </c>
      <c r="T220" s="104" t="s">
        <v>56</v>
      </c>
      <c r="U220" s="107">
        <v>1938</v>
      </c>
      <c r="V220" s="107">
        <v>1938</v>
      </c>
      <c r="W220" s="107" t="s">
        <v>66</v>
      </c>
      <c r="X220" s="107"/>
      <c r="Y220" s="111"/>
      <c r="Z220" s="111"/>
    </row>
    <row r="221" spans="1:26" s="104" customFormat="1" x14ac:dyDescent="0.25">
      <c r="A221" s="104" t="s">
        <v>1635</v>
      </c>
      <c r="B221" s="104" t="s">
        <v>1205</v>
      </c>
      <c r="C221" s="104" t="str">
        <f t="shared" si="7"/>
        <v>NCC-065  - Wilmington</v>
      </c>
      <c r="D221" s="106" t="s">
        <v>71</v>
      </c>
      <c r="E221" s="106" t="s">
        <v>71</v>
      </c>
      <c r="F221" s="107" t="s">
        <v>205</v>
      </c>
      <c r="G221" s="107"/>
      <c r="H221" s="106"/>
      <c r="I221" s="108" t="s">
        <v>1181</v>
      </c>
      <c r="J221" s="105">
        <v>1</v>
      </c>
      <c r="K221" s="105">
        <v>1</v>
      </c>
      <c r="L221" s="143" t="s">
        <v>1636</v>
      </c>
      <c r="M221" s="212" t="s">
        <v>1637</v>
      </c>
      <c r="N221" s="110" t="s">
        <v>1638</v>
      </c>
      <c r="O221" s="104" t="s">
        <v>1205</v>
      </c>
      <c r="P221" s="104">
        <v>19802</v>
      </c>
      <c r="R221" s="104" t="s">
        <v>37</v>
      </c>
      <c r="S221" s="110" t="s">
        <v>1639</v>
      </c>
      <c r="T221" s="104" t="s">
        <v>56</v>
      </c>
      <c r="U221" s="107">
        <v>1938</v>
      </c>
      <c r="V221" s="107">
        <v>1938</v>
      </c>
      <c r="W221" s="107" t="s">
        <v>66</v>
      </c>
      <c r="X221" s="107"/>
      <c r="Y221" s="111"/>
      <c r="Z221" s="111"/>
    </row>
    <row r="222" spans="1:26" s="104" customFormat="1" ht="30" x14ac:dyDescent="0.25">
      <c r="A222" s="104" t="s">
        <v>1640</v>
      </c>
      <c r="B222" s="104" t="s">
        <v>1205</v>
      </c>
      <c r="C222" s="104" t="str">
        <f t="shared" si="7"/>
        <v>NCC-066  - Wilmington</v>
      </c>
      <c r="D222" s="106" t="s">
        <v>71</v>
      </c>
      <c r="E222" s="106" t="s">
        <v>71</v>
      </c>
      <c r="F222" s="107" t="s">
        <v>205</v>
      </c>
      <c r="G222" s="107"/>
      <c r="H222" s="106"/>
      <c r="I222" s="108" t="s">
        <v>1181</v>
      </c>
      <c r="J222" s="105">
        <v>1</v>
      </c>
      <c r="K222" s="105">
        <v>12</v>
      </c>
      <c r="L222" s="143" t="s">
        <v>1641</v>
      </c>
      <c r="M222" s="143" t="s">
        <v>1642</v>
      </c>
      <c r="N222" s="110" t="s">
        <v>1643</v>
      </c>
      <c r="O222" s="104" t="s">
        <v>1205</v>
      </c>
      <c r="P222" s="104">
        <v>19807</v>
      </c>
      <c r="R222" s="104" t="s">
        <v>37</v>
      </c>
      <c r="S222" s="104" t="s">
        <v>1644</v>
      </c>
      <c r="T222" s="104" t="s">
        <v>56</v>
      </c>
      <c r="U222" s="107">
        <v>1938</v>
      </c>
      <c r="V222" s="107">
        <v>1938</v>
      </c>
      <c r="W222" s="107" t="s">
        <v>66</v>
      </c>
      <c r="X222" s="107"/>
      <c r="Y222" s="111"/>
      <c r="Z222" s="111"/>
    </row>
    <row r="223" spans="1:26" s="104" customFormat="1" ht="45" x14ac:dyDescent="0.25">
      <c r="A223" s="82" t="s">
        <v>1645</v>
      </c>
      <c r="B223" s="82" t="s">
        <v>1205</v>
      </c>
      <c r="C223" s="82" t="str">
        <f t="shared" si="7"/>
        <v>NCC-067  - Wilmington</v>
      </c>
      <c r="D223" s="96" t="s">
        <v>1415</v>
      </c>
      <c r="E223" s="96" t="s">
        <v>29</v>
      </c>
      <c r="F223" s="97" t="s">
        <v>205</v>
      </c>
      <c r="G223" s="97"/>
      <c r="H223" s="96"/>
      <c r="I223" s="99" t="s">
        <v>1181</v>
      </c>
      <c r="J223" s="95">
        <v>3</v>
      </c>
      <c r="K223" s="95">
        <v>13</v>
      </c>
      <c r="L223" s="100" t="s">
        <v>1646</v>
      </c>
      <c r="M223" s="100" t="s">
        <v>1647</v>
      </c>
      <c r="N223" s="101" t="s">
        <v>1648</v>
      </c>
      <c r="O223" s="82" t="s">
        <v>1205</v>
      </c>
      <c r="P223" s="82">
        <v>19805</v>
      </c>
      <c r="Q223" s="82"/>
      <c r="R223" s="82" t="s">
        <v>37</v>
      </c>
      <c r="S223" s="82" t="s">
        <v>1649</v>
      </c>
      <c r="T223" s="82" t="s">
        <v>56</v>
      </c>
      <c r="U223" s="97">
        <v>1938</v>
      </c>
      <c r="V223" s="97">
        <v>1938</v>
      </c>
      <c r="W223" s="97" t="s">
        <v>66</v>
      </c>
      <c r="X223" s="97"/>
      <c r="Y223" s="102" t="s">
        <v>1650</v>
      </c>
      <c r="Z223" s="102" t="s">
        <v>1651</v>
      </c>
    </row>
    <row r="224" spans="1:26" s="82" customFormat="1" ht="30" x14ac:dyDescent="0.25">
      <c r="A224" s="104" t="s">
        <v>1652</v>
      </c>
      <c r="B224" s="104" t="s">
        <v>1205</v>
      </c>
      <c r="C224" s="104" t="str">
        <f t="shared" si="7"/>
        <v>NCC-068  - Wilmington</v>
      </c>
      <c r="D224" s="106" t="s">
        <v>71</v>
      </c>
      <c r="E224" s="106" t="s">
        <v>71</v>
      </c>
      <c r="F224" s="107" t="s">
        <v>205</v>
      </c>
      <c r="G224" s="107"/>
      <c r="H224" s="106"/>
      <c r="I224" s="108" t="s">
        <v>1181</v>
      </c>
      <c r="J224" s="105">
        <v>3</v>
      </c>
      <c r="K224" s="105">
        <v>3</v>
      </c>
      <c r="L224" s="143" t="s">
        <v>1653</v>
      </c>
      <c r="M224" s="143" t="s">
        <v>1654</v>
      </c>
      <c r="N224" s="110" t="s">
        <v>1655</v>
      </c>
      <c r="O224" s="104" t="s">
        <v>1205</v>
      </c>
      <c r="P224" s="104">
        <v>19805</v>
      </c>
      <c r="Q224" s="104"/>
      <c r="R224" s="104" t="s">
        <v>37</v>
      </c>
      <c r="S224" s="104" t="s">
        <v>1656</v>
      </c>
      <c r="T224" s="104" t="s">
        <v>56</v>
      </c>
      <c r="U224" s="107">
        <v>1938</v>
      </c>
      <c r="V224" s="107">
        <v>1938</v>
      </c>
      <c r="W224" s="107" t="s">
        <v>66</v>
      </c>
      <c r="X224" s="107"/>
      <c r="Y224" s="111"/>
      <c r="Z224" s="111"/>
    </row>
    <row r="225" spans="1:26" s="104" customFormat="1" x14ac:dyDescent="0.25">
      <c r="A225" s="104" t="s">
        <v>1657</v>
      </c>
      <c r="B225" s="104" t="s">
        <v>1205</v>
      </c>
      <c r="C225" s="104" t="str">
        <f t="shared" si="7"/>
        <v>NCC-069  - Wilmington</v>
      </c>
      <c r="D225" s="106" t="s">
        <v>71</v>
      </c>
      <c r="E225" s="106" t="s">
        <v>71</v>
      </c>
      <c r="F225" s="107" t="s">
        <v>205</v>
      </c>
      <c r="G225" s="107"/>
      <c r="H225" s="106"/>
      <c r="I225" s="108" t="s">
        <v>1181</v>
      </c>
      <c r="J225" s="105">
        <v>3</v>
      </c>
      <c r="K225" s="105">
        <v>2</v>
      </c>
      <c r="L225" s="143" t="s">
        <v>1658</v>
      </c>
      <c r="M225" s="143" t="s">
        <v>1659</v>
      </c>
      <c r="N225" s="110" t="s">
        <v>1660</v>
      </c>
      <c r="O225" s="104" t="s">
        <v>1205</v>
      </c>
      <c r="P225" s="104">
        <v>19804</v>
      </c>
      <c r="R225" s="104" t="s">
        <v>37</v>
      </c>
      <c r="S225" s="110" t="s">
        <v>1661</v>
      </c>
      <c r="T225" s="104" t="s">
        <v>56</v>
      </c>
      <c r="U225" s="107">
        <v>1938</v>
      </c>
      <c r="V225" s="107">
        <v>1938</v>
      </c>
      <c r="W225" s="107" t="s">
        <v>66</v>
      </c>
      <c r="X225" s="107"/>
      <c r="Y225" s="111"/>
      <c r="Z225" s="111"/>
    </row>
    <row r="226" spans="1:26" s="104" customFormat="1" x14ac:dyDescent="0.25">
      <c r="A226" s="104" t="s">
        <v>1662</v>
      </c>
      <c r="B226" s="104" t="s">
        <v>1663</v>
      </c>
      <c r="C226" s="104" t="str">
        <f t="shared" si="7"/>
        <v>NCC-070  - Swanwyck</v>
      </c>
      <c r="D226" s="106" t="s">
        <v>1580</v>
      </c>
      <c r="E226" s="106" t="s">
        <v>71</v>
      </c>
      <c r="F226" s="107" t="s">
        <v>30</v>
      </c>
      <c r="G226" s="107"/>
      <c r="H226" s="106"/>
      <c r="I226" s="108" t="s">
        <v>1181</v>
      </c>
      <c r="J226" s="105">
        <v>2</v>
      </c>
      <c r="K226" s="105">
        <v>16</v>
      </c>
      <c r="L226" s="143" t="s">
        <v>1664</v>
      </c>
      <c r="M226" s="143" t="s">
        <v>1665</v>
      </c>
      <c r="N226" s="110" t="s">
        <v>1666</v>
      </c>
      <c r="O226" s="104" t="s">
        <v>1268</v>
      </c>
      <c r="P226" s="104">
        <v>19801</v>
      </c>
      <c r="R226" s="104" t="s">
        <v>37</v>
      </c>
      <c r="T226" s="104" t="s">
        <v>56</v>
      </c>
      <c r="U226" s="107">
        <v>1938</v>
      </c>
      <c r="V226" s="107">
        <v>1938</v>
      </c>
      <c r="W226" s="107" t="s">
        <v>66</v>
      </c>
      <c r="X226" s="107"/>
      <c r="Y226" s="111"/>
      <c r="Z226" s="111"/>
    </row>
    <row r="227" spans="1:26" s="104" customFormat="1" ht="45" x14ac:dyDescent="0.25">
      <c r="A227" s="82" t="s">
        <v>1667</v>
      </c>
      <c r="B227" s="82" t="s">
        <v>1668</v>
      </c>
      <c r="C227" s="82" t="str">
        <f t="shared" si="7"/>
        <v>NCC-071  - Oliver Evans (1755-1819), Inventor and Engineer</v>
      </c>
      <c r="D227" s="96" t="s">
        <v>1669</v>
      </c>
      <c r="E227" s="96" t="s">
        <v>29</v>
      </c>
      <c r="F227" s="97" t="s">
        <v>62</v>
      </c>
      <c r="G227" s="97"/>
      <c r="H227" s="96" t="s">
        <v>410</v>
      </c>
      <c r="I227" s="99" t="s">
        <v>1181</v>
      </c>
      <c r="J227" s="95">
        <v>7</v>
      </c>
      <c r="K227" s="95">
        <v>13</v>
      </c>
      <c r="L227" s="100" t="s">
        <v>1670</v>
      </c>
      <c r="M227" s="100" t="s">
        <v>1671</v>
      </c>
      <c r="N227" s="101" t="s">
        <v>1672</v>
      </c>
      <c r="O227" s="82" t="s">
        <v>1673</v>
      </c>
      <c r="P227" s="82">
        <v>19804</v>
      </c>
      <c r="Q227" s="82" t="s">
        <v>1674</v>
      </c>
      <c r="R227" s="82" t="s">
        <v>1675</v>
      </c>
      <c r="S227" s="82" t="s">
        <v>1676</v>
      </c>
      <c r="T227" s="82" t="s">
        <v>38</v>
      </c>
      <c r="U227" s="97">
        <v>1938</v>
      </c>
      <c r="V227" s="97">
        <v>1938</v>
      </c>
      <c r="W227" s="97" t="s">
        <v>66</v>
      </c>
      <c r="X227" s="97" t="s">
        <v>1677</v>
      </c>
      <c r="Y227" s="102" t="s">
        <v>1678</v>
      </c>
      <c r="Z227" s="102" t="s">
        <v>1679</v>
      </c>
    </row>
    <row r="228" spans="1:26" s="82" customFormat="1" ht="45" x14ac:dyDescent="0.25">
      <c r="A228" s="82" t="s">
        <v>1680</v>
      </c>
      <c r="B228" s="82" t="s">
        <v>1681</v>
      </c>
      <c r="C228" s="82" t="str">
        <f t="shared" si="7"/>
        <v>NCC-072  - Duncan Beard</v>
      </c>
      <c r="D228" s="96" t="s">
        <v>1682</v>
      </c>
      <c r="E228" s="96" t="s">
        <v>29</v>
      </c>
      <c r="F228" s="97" t="s">
        <v>1123</v>
      </c>
      <c r="G228" s="97"/>
      <c r="H228" s="96" t="s">
        <v>968</v>
      </c>
      <c r="I228" s="99" t="s">
        <v>1181</v>
      </c>
      <c r="J228" s="95">
        <v>14</v>
      </c>
      <c r="K228" s="95">
        <v>9</v>
      </c>
      <c r="L228" s="100" t="s">
        <v>1683</v>
      </c>
      <c r="M228" s="100" t="s">
        <v>1684</v>
      </c>
      <c r="N228" s="101" t="s">
        <v>1685</v>
      </c>
      <c r="O228" s="82" t="s">
        <v>1515</v>
      </c>
      <c r="P228" s="82">
        <v>19734</v>
      </c>
      <c r="R228" s="82" t="s">
        <v>37</v>
      </c>
      <c r="S228" s="82" t="s">
        <v>1686</v>
      </c>
      <c r="T228" s="82" t="s">
        <v>56</v>
      </c>
      <c r="U228" s="97">
        <v>1939</v>
      </c>
      <c r="V228" s="97">
        <v>1939</v>
      </c>
      <c r="W228" s="97" t="s">
        <v>66</v>
      </c>
      <c r="X228" s="97"/>
      <c r="Y228" s="102" t="s">
        <v>1687</v>
      </c>
      <c r="Z228" s="102" t="s">
        <v>1688</v>
      </c>
    </row>
    <row r="229" spans="1:26" s="82" customFormat="1" ht="45" x14ac:dyDescent="0.25">
      <c r="A229" s="82" t="s">
        <v>1689</v>
      </c>
      <c r="B229" s="82" t="s">
        <v>1690</v>
      </c>
      <c r="C229" s="82" t="str">
        <f t="shared" si="7"/>
        <v>NCC-073  - The River Road</v>
      </c>
      <c r="D229" s="96" t="s">
        <v>1691</v>
      </c>
      <c r="E229" s="96" t="s">
        <v>29</v>
      </c>
      <c r="F229" s="97" t="s">
        <v>30</v>
      </c>
      <c r="G229" s="97"/>
      <c r="H229" s="96" t="s">
        <v>442</v>
      </c>
      <c r="I229" s="99" t="s">
        <v>248</v>
      </c>
      <c r="J229" s="95">
        <v>12</v>
      </c>
      <c r="K229" s="95">
        <v>17</v>
      </c>
      <c r="L229" s="100" t="s">
        <v>1692</v>
      </c>
      <c r="M229" s="100" t="s">
        <v>1693</v>
      </c>
      <c r="N229" s="101" t="s">
        <v>1694</v>
      </c>
      <c r="O229" s="82" t="s">
        <v>1268</v>
      </c>
      <c r="P229" s="82">
        <v>19720</v>
      </c>
      <c r="Q229" s="82" t="s">
        <v>1695</v>
      </c>
      <c r="R229" s="82" t="s">
        <v>37</v>
      </c>
      <c r="S229" s="82" t="s">
        <v>1696</v>
      </c>
      <c r="T229" s="82" t="s">
        <v>56</v>
      </c>
      <c r="U229" s="97">
        <v>1949</v>
      </c>
      <c r="V229" s="97">
        <v>1949</v>
      </c>
      <c r="W229" s="97" t="s">
        <v>66</v>
      </c>
      <c r="X229" s="97"/>
      <c r="Y229" s="102" t="s">
        <v>1697</v>
      </c>
      <c r="Z229" s="102" t="s">
        <v>1698</v>
      </c>
    </row>
    <row r="230" spans="1:26" s="82" customFormat="1" ht="45" x14ac:dyDescent="0.25">
      <c r="A230" s="82" t="s">
        <v>1699</v>
      </c>
      <c r="B230" s="82" t="s">
        <v>1700</v>
      </c>
      <c r="C230" s="82" t="str">
        <f t="shared" si="7"/>
        <v>NCC-074  - Old St. Anne's (P.E. Church)</v>
      </c>
      <c r="D230" s="96" t="s">
        <v>1701</v>
      </c>
      <c r="E230" s="96" t="s">
        <v>29</v>
      </c>
      <c r="F230" s="97" t="s">
        <v>191</v>
      </c>
      <c r="G230" s="97"/>
      <c r="H230" s="115"/>
      <c r="I230" s="99"/>
      <c r="J230" s="95">
        <v>10</v>
      </c>
      <c r="K230" s="95">
        <v>8</v>
      </c>
      <c r="L230" s="100" t="s">
        <v>1702</v>
      </c>
      <c r="M230" s="100" t="s">
        <v>1703</v>
      </c>
      <c r="N230" s="101" t="s">
        <v>1704</v>
      </c>
      <c r="O230" s="82" t="s">
        <v>1290</v>
      </c>
      <c r="P230" s="82">
        <v>19709</v>
      </c>
      <c r="R230" s="82" t="s">
        <v>37</v>
      </c>
      <c r="S230" s="82" t="s">
        <v>1705</v>
      </c>
      <c r="T230" s="82" t="s">
        <v>38</v>
      </c>
      <c r="U230" s="97">
        <v>1951</v>
      </c>
      <c r="V230" s="97">
        <v>1951</v>
      </c>
      <c r="W230" s="97" t="s">
        <v>39</v>
      </c>
      <c r="X230" s="97">
        <v>2018</v>
      </c>
      <c r="Y230" s="102" t="s">
        <v>1706</v>
      </c>
      <c r="Z230" s="102" t="s">
        <v>1707</v>
      </c>
    </row>
    <row r="231" spans="1:26" s="82" customFormat="1" ht="45" x14ac:dyDescent="0.25">
      <c r="A231" s="82" t="s">
        <v>1708</v>
      </c>
      <c r="B231" s="82" t="s">
        <v>1709</v>
      </c>
      <c r="C231" s="82" t="str">
        <f t="shared" si="7"/>
        <v>NCC-075  - Presbyterian Church</v>
      </c>
      <c r="D231" s="96" t="s">
        <v>1710</v>
      </c>
      <c r="E231" s="96" t="s">
        <v>29</v>
      </c>
      <c r="F231" s="97" t="s">
        <v>191</v>
      </c>
      <c r="G231" s="97"/>
      <c r="H231" s="96" t="s">
        <v>442</v>
      </c>
      <c r="I231" s="99"/>
      <c r="J231" s="95">
        <v>12</v>
      </c>
      <c r="K231" s="95">
        <v>16</v>
      </c>
      <c r="L231" s="100" t="s">
        <v>1711</v>
      </c>
      <c r="M231" s="100" t="s">
        <v>1712</v>
      </c>
      <c r="N231" s="101" t="s">
        <v>1267</v>
      </c>
      <c r="O231" s="82" t="s">
        <v>1268</v>
      </c>
      <c r="P231" s="82">
        <v>19720</v>
      </c>
      <c r="R231" s="82" t="s">
        <v>37</v>
      </c>
      <c r="T231" s="82" t="s">
        <v>38</v>
      </c>
      <c r="U231" s="97">
        <v>1951</v>
      </c>
      <c r="V231" s="97">
        <v>1951</v>
      </c>
      <c r="W231" s="97" t="s">
        <v>66</v>
      </c>
      <c r="X231" s="97"/>
      <c r="Y231" s="102" t="s">
        <v>1713</v>
      </c>
      <c r="Z231" s="102" t="s">
        <v>1714</v>
      </c>
    </row>
    <row r="232" spans="1:26" s="82" customFormat="1" ht="45" x14ac:dyDescent="0.25">
      <c r="A232" s="82" t="s">
        <v>1715</v>
      </c>
      <c r="B232" s="82" t="s">
        <v>1716</v>
      </c>
      <c r="C232" s="82" t="str">
        <f t="shared" si="7"/>
        <v>NCC-076  - Meeting House 1816 Religious Society of Friends</v>
      </c>
      <c r="D232" s="96" t="s">
        <v>1717</v>
      </c>
      <c r="E232" s="96" t="s">
        <v>29</v>
      </c>
      <c r="F232" s="97" t="s">
        <v>191</v>
      </c>
      <c r="G232" s="97"/>
      <c r="H232" s="96" t="s">
        <v>1718</v>
      </c>
      <c r="I232" s="99" t="s">
        <v>1719</v>
      </c>
      <c r="J232" s="95">
        <v>3</v>
      </c>
      <c r="K232" s="95">
        <v>3</v>
      </c>
      <c r="L232" s="100" t="s">
        <v>1720</v>
      </c>
      <c r="M232" s="100" t="s">
        <v>1721</v>
      </c>
      <c r="N232" s="101" t="s">
        <v>1722</v>
      </c>
      <c r="O232" s="82" t="s">
        <v>1205</v>
      </c>
      <c r="P232" s="82">
        <v>19801</v>
      </c>
      <c r="R232" s="82" t="s">
        <v>37</v>
      </c>
      <c r="T232" s="82" t="s">
        <v>38</v>
      </c>
      <c r="U232" s="97">
        <v>1959</v>
      </c>
      <c r="V232" s="97">
        <v>1959</v>
      </c>
      <c r="W232" s="97" t="s">
        <v>66</v>
      </c>
      <c r="X232" s="97"/>
      <c r="Y232" s="102" t="s">
        <v>1723</v>
      </c>
      <c r="Z232" s="102" t="s">
        <v>1724</v>
      </c>
    </row>
    <row r="233" spans="1:26" s="82" customFormat="1" ht="45" x14ac:dyDescent="0.25">
      <c r="A233" s="82" t="s">
        <v>1725</v>
      </c>
      <c r="B233" s="82" t="s">
        <v>1726</v>
      </c>
      <c r="C233" s="82" t="str">
        <f t="shared" si="7"/>
        <v>NCC-077  - First Presbyterian Church</v>
      </c>
      <c r="D233" s="96" t="s">
        <v>1727</v>
      </c>
      <c r="E233" s="96" t="s">
        <v>130</v>
      </c>
      <c r="F233" s="97" t="s">
        <v>191</v>
      </c>
      <c r="G233" s="97"/>
      <c r="H233" s="96"/>
      <c r="I233" s="99"/>
      <c r="J233" s="95">
        <v>1</v>
      </c>
      <c r="K233" s="95">
        <v>2</v>
      </c>
      <c r="L233" s="100" t="s">
        <v>1728</v>
      </c>
      <c r="M233" s="100" t="s">
        <v>1729</v>
      </c>
      <c r="N233" s="101" t="s">
        <v>1730</v>
      </c>
      <c r="O233" s="82" t="s">
        <v>1205</v>
      </c>
      <c r="P233" s="82">
        <v>19801</v>
      </c>
      <c r="R233" s="82" t="s">
        <v>37</v>
      </c>
      <c r="T233" s="82" t="s">
        <v>38</v>
      </c>
      <c r="U233" s="97">
        <v>1959</v>
      </c>
      <c r="V233" s="97">
        <v>1959</v>
      </c>
      <c r="W233" s="97" t="s">
        <v>66</v>
      </c>
      <c r="X233" s="97">
        <v>2000</v>
      </c>
      <c r="Y233" s="102" t="s">
        <v>1731</v>
      </c>
      <c r="Z233" s="102" t="s">
        <v>1732</v>
      </c>
    </row>
    <row r="234" spans="1:26" s="82" customFormat="1" ht="45" x14ac:dyDescent="0.25">
      <c r="A234" s="82" t="s">
        <v>1733</v>
      </c>
      <c r="B234" s="82" t="s">
        <v>1734</v>
      </c>
      <c r="C234" s="82" t="str">
        <f t="shared" si="7"/>
        <v>NCC-078  - Camp Brandywine</v>
      </c>
      <c r="D234" s="96" t="s">
        <v>1735</v>
      </c>
      <c r="E234" s="96" t="s">
        <v>29</v>
      </c>
      <c r="F234" s="97" t="s">
        <v>30</v>
      </c>
      <c r="G234" s="97"/>
      <c r="H234" s="96" t="s">
        <v>1736</v>
      </c>
      <c r="I234" s="99" t="s">
        <v>1737</v>
      </c>
      <c r="J234" s="95">
        <v>4</v>
      </c>
      <c r="K234" s="95">
        <v>12</v>
      </c>
      <c r="L234" s="100" t="s">
        <v>1738</v>
      </c>
      <c r="M234" s="100" t="s">
        <v>1739</v>
      </c>
      <c r="N234" s="101" t="s">
        <v>1740</v>
      </c>
      <c r="O234" s="82" t="s">
        <v>1741</v>
      </c>
      <c r="P234" s="82">
        <v>19806</v>
      </c>
      <c r="R234" s="82" t="s">
        <v>37</v>
      </c>
      <c r="S234" s="82" t="s">
        <v>1742</v>
      </c>
      <c r="T234" s="82" t="s">
        <v>38</v>
      </c>
      <c r="U234" s="97">
        <v>1966</v>
      </c>
      <c r="V234" s="97">
        <v>1966</v>
      </c>
      <c r="W234" s="97" t="s">
        <v>66</v>
      </c>
      <c r="X234" s="97">
        <v>2018</v>
      </c>
      <c r="Y234" s="102" t="s">
        <v>1743</v>
      </c>
      <c r="Z234" s="102" t="s">
        <v>1744</v>
      </c>
    </row>
    <row r="235" spans="1:26" s="82" customFormat="1" ht="30" x14ac:dyDescent="0.25">
      <c r="A235" s="82" t="s">
        <v>1745</v>
      </c>
      <c r="B235" s="82" t="s">
        <v>1746</v>
      </c>
      <c r="C235" s="82" t="str">
        <f t="shared" si="7"/>
        <v>NCC-079  - Camp DuPont</v>
      </c>
      <c r="D235" s="96" t="s">
        <v>1747</v>
      </c>
      <c r="E235" s="96" t="s">
        <v>29</v>
      </c>
      <c r="F235" s="97" t="s">
        <v>30</v>
      </c>
      <c r="G235" s="97"/>
      <c r="H235" s="96" t="s">
        <v>1748</v>
      </c>
      <c r="I235" s="99" t="s">
        <v>1737</v>
      </c>
      <c r="J235" s="95">
        <v>7</v>
      </c>
      <c r="K235" s="95">
        <v>19</v>
      </c>
      <c r="L235" s="100" t="s">
        <v>1749</v>
      </c>
      <c r="M235" s="100" t="s">
        <v>1750</v>
      </c>
      <c r="N235" s="101" t="s">
        <v>1751</v>
      </c>
      <c r="O235" s="82" t="s">
        <v>1205</v>
      </c>
      <c r="P235" s="82">
        <v>19808</v>
      </c>
      <c r="R235" s="82" t="s">
        <v>37</v>
      </c>
      <c r="S235" s="82" t="s">
        <v>1752</v>
      </c>
      <c r="T235" s="82" t="s">
        <v>38</v>
      </c>
      <c r="U235" s="97">
        <v>1966</v>
      </c>
      <c r="V235" s="97">
        <v>1966</v>
      </c>
      <c r="W235" s="97" t="s">
        <v>66</v>
      </c>
      <c r="X235" s="97"/>
      <c r="Y235" s="102"/>
      <c r="Z235" s="102"/>
    </row>
    <row r="236" spans="1:26" s="82" customFormat="1" ht="45" x14ac:dyDescent="0.25">
      <c r="A236" s="82" t="s">
        <v>1753</v>
      </c>
      <c r="B236" s="82" t="s">
        <v>1754</v>
      </c>
      <c r="C236" s="82" t="str">
        <f t="shared" si="7"/>
        <v>NCC-080  - Anthony- Delaware's First Known Black Settler</v>
      </c>
      <c r="D236" s="96" t="s">
        <v>1755</v>
      </c>
      <c r="E236" s="96" t="s">
        <v>29</v>
      </c>
      <c r="F236" s="97" t="s">
        <v>62</v>
      </c>
      <c r="G236" s="97" t="s">
        <v>293</v>
      </c>
      <c r="H236" s="96" t="s">
        <v>557</v>
      </c>
      <c r="I236" s="99" t="s">
        <v>1756</v>
      </c>
      <c r="J236" s="95">
        <v>2</v>
      </c>
      <c r="K236" s="95">
        <v>2</v>
      </c>
      <c r="L236" s="100" t="s">
        <v>1757</v>
      </c>
      <c r="M236" s="100" t="s">
        <v>1758</v>
      </c>
      <c r="N236" s="101" t="s">
        <v>1759</v>
      </c>
      <c r="O236" s="82" t="s">
        <v>1205</v>
      </c>
      <c r="P236" s="82">
        <v>19802</v>
      </c>
      <c r="R236" s="82" t="s">
        <v>37</v>
      </c>
      <c r="T236" s="82" t="s">
        <v>38</v>
      </c>
      <c r="U236" s="97">
        <v>1988</v>
      </c>
      <c r="V236" s="98">
        <v>32313</v>
      </c>
      <c r="W236" s="97" t="s">
        <v>66</v>
      </c>
      <c r="X236" s="97"/>
      <c r="Y236" s="102" t="s">
        <v>1760</v>
      </c>
      <c r="Z236" s="102" t="s">
        <v>1761</v>
      </c>
    </row>
    <row r="237" spans="1:26" s="82" customFormat="1" ht="45" x14ac:dyDescent="0.25">
      <c r="A237" s="82" t="s">
        <v>1762</v>
      </c>
      <c r="B237" s="82" t="s">
        <v>1763</v>
      </c>
      <c r="C237" s="82" t="str">
        <f t="shared" si="7"/>
        <v>NCC-081  - John McKinly President (Governor) of Delaware, 1777</v>
      </c>
      <c r="D237" s="96" t="s">
        <v>1764</v>
      </c>
      <c r="E237" s="96" t="s">
        <v>29</v>
      </c>
      <c r="F237" s="97" t="s">
        <v>62</v>
      </c>
      <c r="G237" s="97"/>
      <c r="H237" s="96"/>
      <c r="I237" s="99"/>
      <c r="J237" s="95">
        <v>1</v>
      </c>
      <c r="K237" s="95">
        <v>2</v>
      </c>
      <c r="L237" s="100" t="s">
        <v>1765</v>
      </c>
      <c r="M237" s="100" t="s">
        <v>1766</v>
      </c>
      <c r="N237" s="101" t="s">
        <v>1767</v>
      </c>
      <c r="O237" s="82" t="s">
        <v>1205</v>
      </c>
      <c r="P237" s="82">
        <v>19801</v>
      </c>
      <c r="R237" s="82" t="s">
        <v>37</v>
      </c>
      <c r="S237" s="82" t="s">
        <v>1768</v>
      </c>
      <c r="T237" s="82" t="s">
        <v>38</v>
      </c>
      <c r="U237" s="97">
        <v>1988</v>
      </c>
      <c r="V237" s="97">
        <v>1988</v>
      </c>
      <c r="W237" s="97" t="s">
        <v>66</v>
      </c>
      <c r="X237" s="97"/>
      <c r="Y237" s="102" t="s">
        <v>1769</v>
      </c>
      <c r="Z237" s="102" t="s">
        <v>1770</v>
      </c>
    </row>
    <row r="238" spans="1:26" s="82" customFormat="1" ht="75" x14ac:dyDescent="0.25">
      <c r="A238" s="82" t="s">
        <v>1771</v>
      </c>
      <c r="B238" s="82" t="s">
        <v>1772</v>
      </c>
      <c r="C238" s="82" t="str">
        <f t="shared" si="7"/>
        <v>NCC-082  - Howard High School - First Secondary School for Blacks</v>
      </c>
      <c r="D238" s="115" t="s">
        <v>1773</v>
      </c>
      <c r="E238" s="96" t="s">
        <v>29</v>
      </c>
      <c r="F238" s="97" t="s">
        <v>276</v>
      </c>
      <c r="G238" s="97" t="s">
        <v>293</v>
      </c>
      <c r="H238" s="96" t="s">
        <v>711</v>
      </c>
      <c r="I238" s="99" t="s">
        <v>1774</v>
      </c>
      <c r="J238" s="95">
        <v>3</v>
      </c>
      <c r="K238" s="95">
        <v>2</v>
      </c>
      <c r="L238" s="112">
        <v>39.74682</v>
      </c>
      <c r="M238" s="112">
        <v>-75.54186</v>
      </c>
      <c r="N238" s="101" t="s">
        <v>1775</v>
      </c>
      <c r="O238" s="82" t="s">
        <v>1205</v>
      </c>
      <c r="P238" s="82">
        <v>19802</v>
      </c>
      <c r="R238" s="82" t="s">
        <v>37</v>
      </c>
      <c r="S238" s="82" t="s">
        <v>1776</v>
      </c>
      <c r="T238" s="82" t="s">
        <v>38</v>
      </c>
      <c r="U238" s="185">
        <v>1988</v>
      </c>
      <c r="V238" s="98">
        <v>32313</v>
      </c>
      <c r="W238" s="97" t="s">
        <v>66</v>
      </c>
      <c r="X238" s="97">
        <v>2012</v>
      </c>
      <c r="Y238" s="131" t="s">
        <v>1777</v>
      </c>
      <c r="Z238" s="102" t="s">
        <v>1778</v>
      </c>
    </row>
    <row r="239" spans="1:26" s="82" customFormat="1" ht="45" x14ac:dyDescent="0.25">
      <c r="A239" s="82" t="s">
        <v>1779</v>
      </c>
      <c r="B239" s="82" t="s">
        <v>1780</v>
      </c>
      <c r="C239" s="82" t="str">
        <f t="shared" si="7"/>
        <v>NCC-083  - Eastburn-Jeanes Mining Complex (c. 1816-1900's)</v>
      </c>
      <c r="D239" s="96" t="s">
        <v>1557</v>
      </c>
      <c r="E239" s="96" t="s">
        <v>29</v>
      </c>
      <c r="F239" s="97" t="s">
        <v>30</v>
      </c>
      <c r="G239" s="97"/>
      <c r="H239" s="96"/>
      <c r="I239" s="99"/>
      <c r="J239" s="95">
        <v>9</v>
      </c>
      <c r="K239" s="95">
        <v>23</v>
      </c>
      <c r="L239" s="100" t="s">
        <v>1781</v>
      </c>
      <c r="M239" s="100" t="s">
        <v>1782</v>
      </c>
      <c r="N239" s="101" t="s">
        <v>1783</v>
      </c>
      <c r="O239" s="82" t="s">
        <v>1428</v>
      </c>
      <c r="P239" s="82">
        <v>19711</v>
      </c>
      <c r="R239" s="82" t="s">
        <v>37</v>
      </c>
      <c r="T239" s="82" t="s">
        <v>38</v>
      </c>
      <c r="U239" s="97">
        <v>1995</v>
      </c>
      <c r="V239" s="98">
        <v>34948</v>
      </c>
      <c r="W239" s="97" t="s">
        <v>66</v>
      </c>
      <c r="X239" s="97"/>
      <c r="Y239" s="102" t="s">
        <v>1784</v>
      </c>
      <c r="Z239" s="102" t="s">
        <v>1785</v>
      </c>
    </row>
    <row r="240" spans="1:26" s="82" customFormat="1" ht="45" x14ac:dyDescent="0.25">
      <c r="A240" s="82" t="s">
        <v>1786</v>
      </c>
      <c r="B240" s="82" t="s">
        <v>1787</v>
      </c>
      <c r="C240" s="82" t="str">
        <f t="shared" si="7"/>
        <v>NCC-084  - Gravesite of Bishop Peter Spencer &amp; His Devoted Wife Annes</v>
      </c>
      <c r="D240" s="96" t="s">
        <v>1788</v>
      </c>
      <c r="E240" s="96" t="s">
        <v>29</v>
      </c>
      <c r="F240" s="97" t="s">
        <v>62</v>
      </c>
      <c r="G240" s="97" t="s">
        <v>293</v>
      </c>
      <c r="H240" s="115" t="s">
        <v>1789</v>
      </c>
      <c r="I240" s="99" t="s">
        <v>1790</v>
      </c>
      <c r="J240" s="95">
        <v>3</v>
      </c>
      <c r="K240" s="95">
        <v>2</v>
      </c>
      <c r="L240" s="100" t="s">
        <v>1791</v>
      </c>
      <c r="M240" s="100" t="s">
        <v>1792</v>
      </c>
      <c r="N240" s="101" t="s">
        <v>1793</v>
      </c>
      <c r="O240" s="82" t="s">
        <v>1205</v>
      </c>
      <c r="P240" s="82">
        <v>19801</v>
      </c>
      <c r="R240" s="82" t="s">
        <v>37</v>
      </c>
      <c r="S240" s="101" t="s">
        <v>1794</v>
      </c>
      <c r="T240" s="82" t="s">
        <v>38</v>
      </c>
      <c r="U240" s="97">
        <v>1988</v>
      </c>
      <c r="V240" s="97">
        <v>1988</v>
      </c>
      <c r="W240" s="97" t="s">
        <v>1292</v>
      </c>
      <c r="X240" s="98">
        <v>44706</v>
      </c>
      <c r="Y240" s="103" t="s">
        <v>1795</v>
      </c>
      <c r="Z240" s="102" t="s">
        <v>1796</v>
      </c>
    </row>
    <row r="241" spans="1:26" s="82" customFormat="1" ht="45" x14ac:dyDescent="0.25">
      <c r="A241" s="82" t="s">
        <v>1797</v>
      </c>
      <c r="B241" s="82" t="s">
        <v>1798</v>
      </c>
      <c r="C241" s="82" t="str">
        <f t="shared" si="7"/>
        <v>NCC-085  - Ebright Azimuth</v>
      </c>
      <c r="D241" s="96" t="s">
        <v>1799</v>
      </c>
      <c r="E241" s="96" t="s">
        <v>29</v>
      </c>
      <c r="F241" s="97" t="s">
        <v>409</v>
      </c>
      <c r="G241" s="97"/>
      <c r="H241" s="96"/>
      <c r="I241" s="99" t="s">
        <v>1800</v>
      </c>
      <c r="J241" s="95">
        <v>5</v>
      </c>
      <c r="K241" s="95">
        <v>10</v>
      </c>
      <c r="L241" s="100" t="s">
        <v>1801</v>
      </c>
      <c r="M241" s="100" t="s">
        <v>1802</v>
      </c>
      <c r="N241" s="101" t="s">
        <v>1803</v>
      </c>
      <c r="O241" s="82" t="s">
        <v>1205</v>
      </c>
      <c r="P241" s="82">
        <v>19803</v>
      </c>
      <c r="R241" s="82" t="s">
        <v>37</v>
      </c>
      <c r="S241" s="82" t="s">
        <v>1804</v>
      </c>
      <c r="T241" s="82" t="s">
        <v>38</v>
      </c>
      <c r="U241" s="97">
        <v>1989</v>
      </c>
      <c r="V241" s="97">
        <v>1989</v>
      </c>
      <c r="W241" s="97" t="s">
        <v>66</v>
      </c>
      <c r="X241" s="97"/>
      <c r="Y241" s="102" t="s">
        <v>1805</v>
      </c>
      <c r="Z241" s="102" t="s">
        <v>1806</v>
      </c>
    </row>
    <row r="242" spans="1:26" s="82" customFormat="1" ht="60" x14ac:dyDescent="0.25">
      <c r="A242" s="82" t="s">
        <v>1807</v>
      </c>
      <c r="B242" s="82" t="s">
        <v>1808</v>
      </c>
      <c r="C242" s="82" t="str">
        <f t="shared" si="7"/>
        <v>NCC-086  - South Wilmington - Cradle of African American Political Leadership</v>
      </c>
      <c r="D242" s="96" t="s">
        <v>1809</v>
      </c>
      <c r="E242" s="96" t="s">
        <v>29</v>
      </c>
      <c r="F242" s="97" t="s">
        <v>42</v>
      </c>
      <c r="G242" s="97" t="s">
        <v>293</v>
      </c>
      <c r="H242" s="115" t="s">
        <v>49</v>
      </c>
      <c r="I242" s="99" t="s">
        <v>301</v>
      </c>
      <c r="J242" s="95">
        <v>2</v>
      </c>
      <c r="K242" s="95">
        <v>16</v>
      </c>
      <c r="L242" s="100" t="s">
        <v>1810</v>
      </c>
      <c r="M242" s="100" t="s">
        <v>1811</v>
      </c>
      <c r="N242" s="101" t="s">
        <v>1812</v>
      </c>
      <c r="O242" s="82" t="s">
        <v>1205</v>
      </c>
      <c r="P242" s="82">
        <v>19801</v>
      </c>
      <c r="R242" s="82" t="s">
        <v>37</v>
      </c>
      <c r="S242" s="102"/>
      <c r="T242" s="82" t="s">
        <v>38</v>
      </c>
      <c r="U242" s="97">
        <v>1989</v>
      </c>
      <c r="V242" s="97">
        <v>1989</v>
      </c>
      <c r="W242" s="97" t="s">
        <v>66</v>
      </c>
      <c r="X242" s="97"/>
      <c r="Y242" s="103" t="s">
        <v>1813</v>
      </c>
      <c r="Z242" s="102" t="s">
        <v>1814</v>
      </c>
    </row>
    <row r="243" spans="1:26" s="82" customFormat="1" ht="45" x14ac:dyDescent="0.25">
      <c r="A243" s="82" t="s">
        <v>1815</v>
      </c>
      <c r="B243" s="82" t="s">
        <v>1816</v>
      </c>
      <c r="C243" s="82" t="str">
        <f t="shared" si="7"/>
        <v>NCC-087  - Mount Olive Cemetery</v>
      </c>
      <c r="D243" s="96" t="s">
        <v>1817</v>
      </c>
      <c r="E243" s="96" t="s">
        <v>29</v>
      </c>
      <c r="F243" s="97" t="s">
        <v>30</v>
      </c>
      <c r="G243" s="97" t="s">
        <v>293</v>
      </c>
      <c r="H243" s="96" t="s">
        <v>1818</v>
      </c>
      <c r="I243" s="99"/>
      <c r="J243" s="95">
        <v>4</v>
      </c>
      <c r="K243" s="95">
        <v>12</v>
      </c>
      <c r="L243" s="100" t="s">
        <v>1819</v>
      </c>
      <c r="M243" s="100" t="s">
        <v>1820</v>
      </c>
      <c r="N243" s="101" t="s">
        <v>1821</v>
      </c>
      <c r="O243" s="82" t="s">
        <v>1205</v>
      </c>
      <c r="P243" s="82">
        <v>19805</v>
      </c>
      <c r="R243" s="82" t="s">
        <v>37</v>
      </c>
      <c r="S243" s="82" t="s">
        <v>1822</v>
      </c>
      <c r="T243" s="82" t="s">
        <v>38</v>
      </c>
      <c r="U243" s="97">
        <v>1991</v>
      </c>
      <c r="V243" s="97">
        <v>1991</v>
      </c>
      <c r="W243" s="97" t="s">
        <v>1292</v>
      </c>
      <c r="X243" s="98">
        <v>44679</v>
      </c>
      <c r="Y243" s="102" t="s">
        <v>1823</v>
      </c>
      <c r="Z243" s="102" t="s">
        <v>1824</v>
      </c>
    </row>
    <row r="244" spans="1:26" s="82" customFormat="1" ht="60" x14ac:dyDescent="0.25">
      <c r="A244" s="82" t="s">
        <v>1825</v>
      </c>
      <c r="B244" s="82" t="s">
        <v>1826</v>
      </c>
      <c r="C244" s="82" t="str">
        <f t="shared" ref="C244:C275" si="8">A244 &amp; " - " &amp; B244</f>
        <v>NCC-088  - Thomas Garrett Stationmaster Underground Railroad</v>
      </c>
      <c r="D244" s="96" t="s">
        <v>1827</v>
      </c>
      <c r="E244" s="96" t="s">
        <v>29</v>
      </c>
      <c r="F244" s="97" t="s">
        <v>62</v>
      </c>
      <c r="G244" s="97" t="s">
        <v>293</v>
      </c>
      <c r="H244" s="96" t="s">
        <v>1828</v>
      </c>
      <c r="I244" s="99"/>
      <c r="J244" s="95">
        <v>3</v>
      </c>
      <c r="K244" s="95">
        <v>2</v>
      </c>
      <c r="L244" s="100" t="s">
        <v>1829</v>
      </c>
      <c r="M244" s="100" t="s">
        <v>1830</v>
      </c>
      <c r="N244" s="101" t="s">
        <v>1831</v>
      </c>
      <c r="O244" s="82" t="s">
        <v>1205</v>
      </c>
      <c r="P244" s="82">
        <v>19801</v>
      </c>
      <c r="R244" s="82" t="s">
        <v>37</v>
      </c>
      <c r="T244" s="82" t="s">
        <v>38</v>
      </c>
      <c r="U244" s="97">
        <v>1993</v>
      </c>
      <c r="V244" s="97">
        <v>1993</v>
      </c>
      <c r="W244" s="97" t="s">
        <v>1292</v>
      </c>
      <c r="X244" s="97"/>
      <c r="Y244" s="102" t="s">
        <v>1832</v>
      </c>
      <c r="Z244" s="102" t="s">
        <v>1833</v>
      </c>
    </row>
    <row r="245" spans="1:26" s="82" customFormat="1" ht="30" x14ac:dyDescent="0.25">
      <c r="A245" s="82" t="s">
        <v>1834</v>
      </c>
      <c r="B245" s="82" t="s">
        <v>1835</v>
      </c>
      <c r="C245" s="82" t="str">
        <f t="shared" si="8"/>
        <v>NCC-089  - Clearfield Farm</v>
      </c>
      <c r="D245" s="96" t="s">
        <v>1836</v>
      </c>
      <c r="E245" s="96" t="s">
        <v>29</v>
      </c>
      <c r="F245" s="97" t="s">
        <v>30</v>
      </c>
      <c r="G245" s="97"/>
      <c r="H245" s="96"/>
      <c r="I245" s="99"/>
      <c r="J245" s="95">
        <v>14</v>
      </c>
      <c r="K245" s="95">
        <v>28</v>
      </c>
      <c r="L245" s="100" t="s">
        <v>1837</v>
      </c>
      <c r="M245" s="100" t="s">
        <v>1838</v>
      </c>
      <c r="N245" s="101" t="s">
        <v>1839</v>
      </c>
      <c r="O245" s="82" t="s">
        <v>1840</v>
      </c>
      <c r="P245" s="82">
        <v>19977</v>
      </c>
      <c r="R245" s="82" t="s">
        <v>37</v>
      </c>
      <c r="T245" s="82" t="s">
        <v>38</v>
      </c>
      <c r="U245" s="97">
        <v>1993</v>
      </c>
      <c r="V245" s="97">
        <v>1993</v>
      </c>
      <c r="W245" s="97" t="s">
        <v>1292</v>
      </c>
      <c r="X245" s="97"/>
      <c r="Y245" s="102" t="s">
        <v>1841</v>
      </c>
      <c r="Z245" s="102" t="s">
        <v>1842</v>
      </c>
    </row>
    <row r="246" spans="1:26" s="82" customFormat="1" ht="75" x14ac:dyDescent="0.25">
      <c r="A246" s="82" t="s">
        <v>1843</v>
      </c>
      <c r="B246" s="82" t="s">
        <v>1844</v>
      </c>
      <c r="C246" s="82" t="str">
        <f t="shared" si="8"/>
        <v>NCC-090  - Appoquinimink Friends Meeting House</v>
      </c>
      <c r="D246" s="96" t="s">
        <v>1845</v>
      </c>
      <c r="E246" s="96" t="s">
        <v>29</v>
      </c>
      <c r="F246" s="97" t="s">
        <v>191</v>
      </c>
      <c r="G246" s="97" t="s">
        <v>293</v>
      </c>
      <c r="H246" s="96"/>
      <c r="I246" s="99"/>
      <c r="J246" s="95">
        <v>10</v>
      </c>
      <c r="K246" s="95">
        <v>9</v>
      </c>
      <c r="L246" s="100" t="s">
        <v>1846</v>
      </c>
      <c r="M246" s="100" t="s">
        <v>1847</v>
      </c>
      <c r="N246" s="101" t="s">
        <v>1848</v>
      </c>
      <c r="O246" s="82" t="s">
        <v>1304</v>
      </c>
      <c r="P246" s="82">
        <v>19730</v>
      </c>
      <c r="Q246" s="82" t="s">
        <v>1849</v>
      </c>
      <c r="R246" s="82" t="s">
        <v>1850</v>
      </c>
      <c r="S246" s="82" t="s">
        <v>1851</v>
      </c>
      <c r="T246" s="82" t="s">
        <v>38</v>
      </c>
      <c r="U246" s="97">
        <v>1993</v>
      </c>
      <c r="V246" s="97">
        <v>1993</v>
      </c>
      <c r="W246" s="97" t="s">
        <v>1292</v>
      </c>
      <c r="X246" s="97"/>
      <c r="Y246" s="102" t="s">
        <v>1852</v>
      </c>
      <c r="Z246" s="102" t="s">
        <v>1853</v>
      </c>
    </row>
    <row r="247" spans="1:26" s="82" customFormat="1" ht="45" x14ac:dyDescent="0.25">
      <c r="A247" s="82" t="s">
        <v>1854</v>
      </c>
      <c r="B247" s="82" t="s">
        <v>1855</v>
      </c>
      <c r="C247" s="82" t="str">
        <f t="shared" si="8"/>
        <v>NCC-091  - The Darley House</v>
      </c>
      <c r="D247" s="96" t="s">
        <v>1856</v>
      </c>
      <c r="E247" s="96" t="s">
        <v>29</v>
      </c>
      <c r="F247" s="97" t="s">
        <v>30</v>
      </c>
      <c r="G247" s="97"/>
      <c r="H247" s="96" t="s">
        <v>247</v>
      </c>
      <c r="I247" s="99" t="s">
        <v>1857</v>
      </c>
      <c r="J247" s="95">
        <v>5</v>
      </c>
      <c r="K247" s="95">
        <v>7</v>
      </c>
      <c r="L247" s="100" t="s">
        <v>1858</v>
      </c>
      <c r="M247" s="100" t="s">
        <v>1859</v>
      </c>
      <c r="N247" s="101" t="s">
        <v>1860</v>
      </c>
      <c r="O247" s="82" t="s">
        <v>1183</v>
      </c>
      <c r="P247" s="82">
        <v>19703</v>
      </c>
      <c r="R247" s="82" t="s">
        <v>37</v>
      </c>
      <c r="S247" s="82" t="s">
        <v>1861</v>
      </c>
      <c r="T247" s="82" t="s">
        <v>38</v>
      </c>
      <c r="U247" s="97">
        <v>1993</v>
      </c>
      <c r="V247" s="97">
        <v>1993</v>
      </c>
      <c r="W247" s="97" t="s">
        <v>1292</v>
      </c>
      <c r="X247" s="97"/>
      <c r="Y247" s="102" t="s">
        <v>1862</v>
      </c>
      <c r="Z247" s="102" t="s">
        <v>1863</v>
      </c>
    </row>
    <row r="248" spans="1:26" s="82" customFormat="1" ht="30" x14ac:dyDescent="0.25">
      <c r="A248" s="82" t="s">
        <v>1864</v>
      </c>
      <c r="B248" s="82" t="s">
        <v>1865</v>
      </c>
      <c r="C248" s="82" t="str">
        <f t="shared" si="8"/>
        <v>NCC-092  - The Village of Arden</v>
      </c>
      <c r="D248" s="96" t="s">
        <v>1799</v>
      </c>
      <c r="E248" s="96" t="s">
        <v>29</v>
      </c>
      <c r="F248" s="97" t="s">
        <v>205</v>
      </c>
      <c r="G248" s="97"/>
      <c r="H248" s="96"/>
      <c r="I248" s="99"/>
      <c r="J248" s="95">
        <v>5</v>
      </c>
      <c r="K248" s="95">
        <v>7</v>
      </c>
      <c r="L248" s="100" t="s">
        <v>1866</v>
      </c>
      <c r="M248" s="100" t="s">
        <v>1867</v>
      </c>
      <c r="N248" s="101" t="s">
        <v>1868</v>
      </c>
      <c r="O248" s="82" t="s">
        <v>1869</v>
      </c>
      <c r="P248" s="82">
        <v>19810</v>
      </c>
      <c r="R248" s="82" t="s">
        <v>37</v>
      </c>
      <c r="S248" s="82" t="s">
        <v>1870</v>
      </c>
      <c r="T248" s="82" t="s">
        <v>38</v>
      </c>
      <c r="U248" s="97">
        <v>1993</v>
      </c>
      <c r="V248" s="97">
        <v>1993</v>
      </c>
      <c r="W248" s="97" t="s">
        <v>1292</v>
      </c>
      <c r="X248" s="97"/>
      <c r="Y248" s="102" t="s">
        <v>1871</v>
      </c>
      <c r="Z248" s="102" t="s">
        <v>1872</v>
      </c>
    </row>
    <row r="249" spans="1:26" s="82" customFormat="1" ht="45" x14ac:dyDescent="0.25">
      <c r="A249" s="82" t="s">
        <v>1873</v>
      </c>
      <c r="B249" s="82" t="s">
        <v>1874</v>
      </c>
      <c r="C249" s="82" t="str">
        <f t="shared" si="8"/>
        <v>NCC-093  - Taylor's Bridge School (District No. 66)</v>
      </c>
      <c r="D249" s="96" t="s">
        <v>1875</v>
      </c>
      <c r="E249" s="96" t="s">
        <v>29</v>
      </c>
      <c r="F249" s="97" t="s">
        <v>276</v>
      </c>
      <c r="G249" s="97"/>
      <c r="H249" s="96"/>
      <c r="I249" s="99"/>
      <c r="J249" s="95">
        <v>14</v>
      </c>
      <c r="K249" s="95">
        <v>9</v>
      </c>
      <c r="L249" s="100" t="s">
        <v>1876</v>
      </c>
      <c r="M249" s="100" t="s">
        <v>1877</v>
      </c>
      <c r="N249" s="101" t="s">
        <v>1878</v>
      </c>
      <c r="O249" s="82" t="s">
        <v>1515</v>
      </c>
      <c r="P249" s="82">
        <v>19734</v>
      </c>
      <c r="R249" s="82" t="s">
        <v>37</v>
      </c>
      <c r="T249" s="82" t="s">
        <v>38</v>
      </c>
      <c r="U249" s="97">
        <v>1997</v>
      </c>
      <c r="V249" s="97">
        <v>1997</v>
      </c>
      <c r="W249" s="97" t="s">
        <v>1292</v>
      </c>
      <c r="X249" s="97"/>
      <c r="Y249" s="102" t="s">
        <v>1879</v>
      </c>
      <c r="Z249" s="102" t="s">
        <v>1880</v>
      </c>
    </row>
    <row r="250" spans="1:26" s="82" customFormat="1" ht="45" x14ac:dyDescent="0.25">
      <c r="A250" s="82" t="s">
        <v>1881</v>
      </c>
      <c r="B250" s="82" t="s">
        <v>1882</v>
      </c>
      <c r="C250" s="82" t="str">
        <f t="shared" si="8"/>
        <v>NCC-094  - Saint Joseph Church</v>
      </c>
      <c r="D250" s="96" t="s">
        <v>1883</v>
      </c>
      <c r="E250" s="96" t="s">
        <v>29</v>
      </c>
      <c r="F250" s="97" t="s">
        <v>191</v>
      </c>
      <c r="G250" s="97" t="s">
        <v>293</v>
      </c>
      <c r="H250" s="96" t="s">
        <v>400</v>
      </c>
      <c r="I250" s="99"/>
      <c r="J250" s="95">
        <v>3</v>
      </c>
      <c r="K250" s="95">
        <v>2</v>
      </c>
      <c r="L250" s="100" t="s">
        <v>1884</v>
      </c>
      <c r="M250" s="100" t="s">
        <v>1885</v>
      </c>
      <c r="N250" s="101" t="s">
        <v>1886</v>
      </c>
      <c r="O250" s="82" t="s">
        <v>1205</v>
      </c>
      <c r="P250" s="82">
        <v>19801</v>
      </c>
      <c r="Q250" s="82" t="s">
        <v>1887</v>
      </c>
      <c r="R250" s="82" t="s">
        <v>1888</v>
      </c>
      <c r="T250" s="82" t="s">
        <v>38</v>
      </c>
      <c r="U250" s="97">
        <v>1995</v>
      </c>
      <c r="V250" s="97"/>
      <c r="W250" s="97" t="s">
        <v>1292</v>
      </c>
      <c r="X250" s="97"/>
      <c r="Y250" s="102" t="s">
        <v>1889</v>
      </c>
      <c r="Z250" s="102" t="s">
        <v>1890</v>
      </c>
    </row>
    <row r="251" spans="1:26" s="82" customFormat="1" ht="45" x14ac:dyDescent="0.25">
      <c r="A251" s="82" t="s">
        <v>1891</v>
      </c>
      <c r="B251" s="82" t="s">
        <v>1892</v>
      </c>
      <c r="C251" s="82" t="str">
        <f t="shared" si="8"/>
        <v>NCC-095  - The Home of William Julius "Judy" Johnson</v>
      </c>
      <c r="D251" s="96" t="s">
        <v>1893</v>
      </c>
      <c r="E251" s="96" t="s">
        <v>29</v>
      </c>
      <c r="F251" s="97" t="s">
        <v>1123</v>
      </c>
      <c r="G251" s="97" t="s">
        <v>293</v>
      </c>
      <c r="H251" s="115" t="s">
        <v>795</v>
      </c>
      <c r="I251" s="99" t="s">
        <v>1894</v>
      </c>
      <c r="J251" s="95">
        <v>7</v>
      </c>
      <c r="K251" s="95">
        <v>19</v>
      </c>
      <c r="L251" s="100" t="s">
        <v>1895</v>
      </c>
      <c r="M251" s="100" t="s">
        <v>1896</v>
      </c>
      <c r="N251" s="101" t="s">
        <v>1897</v>
      </c>
      <c r="O251" s="82" t="s">
        <v>1205</v>
      </c>
      <c r="P251" s="82">
        <v>19808</v>
      </c>
      <c r="R251" s="82" t="s">
        <v>37</v>
      </c>
      <c r="S251" s="102"/>
      <c r="T251" s="82" t="s">
        <v>38</v>
      </c>
      <c r="U251" s="97">
        <v>1995</v>
      </c>
      <c r="V251" s="97">
        <v>1995</v>
      </c>
      <c r="W251" s="97" t="s">
        <v>1292</v>
      </c>
      <c r="X251" s="97"/>
      <c r="Y251" s="131" t="s">
        <v>1898</v>
      </c>
      <c r="Z251" s="102" t="s">
        <v>1899</v>
      </c>
    </row>
    <row r="252" spans="1:26" s="82" customFormat="1" x14ac:dyDescent="0.25">
      <c r="A252" s="82" t="s">
        <v>1900</v>
      </c>
      <c r="B252" s="82" t="s">
        <v>1901</v>
      </c>
      <c r="C252" s="82" t="str">
        <f t="shared" si="8"/>
        <v>NCC-096  - Ashley Mansion</v>
      </c>
      <c r="D252" s="96" t="s">
        <v>1902</v>
      </c>
      <c r="E252" s="96" t="s">
        <v>29</v>
      </c>
      <c r="F252" s="97" t="s">
        <v>30</v>
      </c>
      <c r="G252" s="97"/>
      <c r="H252" s="96" t="s">
        <v>183</v>
      </c>
      <c r="I252" s="99"/>
      <c r="J252" s="95">
        <v>3</v>
      </c>
      <c r="K252" s="95">
        <v>13</v>
      </c>
      <c r="L252" s="100" t="s">
        <v>1903</v>
      </c>
      <c r="M252" s="100" t="s">
        <v>1904</v>
      </c>
      <c r="N252" s="101" t="s">
        <v>1660</v>
      </c>
      <c r="O252" s="82" t="s">
        <v>1205</v>
      </c>
      <c r="P252" s="82">
        <v>19804</v>
      </c>
      <c r="R252" s="82" t="s">
        <v>37</v>
      </c>
      <c r="T252" s="82" t="s">
        <v>38</v>
      </c>
      <c r="U252" s="97">
        <v>1997</v>
      </c>
      <c r="V252" s="97">
        <v>1997</v>
      </c>
      <c r="W252" s="97" t="s">
        <v>39</v>
      </c>
      <c r="X252" s="97"/>
      <c r="Y252" s="102"/>
      <c r="Z252" s="102"/>
    </row>
    <row r="253" spans="1:26" s="82" customFormat="1" ht="45" x14ac:dyDescent="0.25">
      <c r="A253" s="82" t="s">
        <v>1905</v>
      </c>
      <c r="B253" s="82" t="s">
        <v>1906</v>
      </c>
      <c r="C253" s="82" t="str">
        <f t="shared" si="8"/>
        <v>NCC-097  - Delaware City School No. 118C</v>
      </c>
      <c r="D253" s="96" t="s">
        <v>1907</v>
      </c>
      <c r="E253" s="96" t="s">
        <v>29</v>
      </c>
      <c r="F253" s="97" t="s">
        <v>276</v>
      </c>
      <c r="G253" s="97" t="s">
        <v>293</v>
      </c>
      <c r="H253" s="96"/>
      <c r="I253" s="99"/>
      <c r="J253" s="95">
        <v>12</v>
      </c>
      <c r="K253" s="95">
        <v>17</v>
      </c>
      <c r="L253" s="100" t="s">
        <v>1908</v>
      </c>
      <c r="M253" s="100" t="s">
        <v>1909</v>
      </c>
      <c r="N253" s="101" t="s">
        <v>1910</v>
      </c>
      <c r="O253" s="82" t="s">
        <v>1911</v>
      </c>
      <c r="P253" s="82">
        <v>19706</v>
      </c>
      <c r="R253" s="82" t="s">
        <v>37</v>
      </c>
      <c r="T253" s="82" t="s">
        <v>38</v>
      </c>
      <c r="U253" s="97">
        <v>1997</v>
      </c>
      <c r="V253" s="97">
        <v>1997</v>
      </c>
      <c r="W253" s="97" t="s">
        <v>39</v>
      </c>
      <c r="X253" s="97"/>
      <c r="Y253" s="102" t="s">
        <v>1912</v>
      </c>
      <c r="Z253" s="102" t="s">
        <v>1913</v>
      </c>
    </row>
    <row r="254" spans="1:26" s="82" customFormat="1" ht="30" x14ac:dyDescent="0.25">
      <c r="A254" s="82" t="s">
        <v>1914</v>
      </c>
      <c r="B254" s="82" t="s">
        <v>1915</v>
      </c>
      <c r="C254" s="82" t="str">
        <f t="shared" si="8"/>
        <v>NCC-098  - Christiana United Methodist Church</v>
      </c>
      <c r="D254" s="96" t="s">
        <v>1916</v>
      </c>
      <c r="E254" s="96" t="s">
        <v>29</v>
      </c>
      <c r="F254" s="97" t="s">
        <v>191</v>
      </c>
      <c r="G254" s="97"/>
      <c r="H254" s="96"/>
      <c r="I254" s="99"/>
      <c r="J254" s="95">
        <v>9</v>
      </c>
      <c r="K254" s="95">
        <v>18</v>
      </c>
      <c r="L254" s="100" t="s">
        <v>1917</v>
      </c>
      <c r="M254" s="100" t="s">
        <v>1918</v>
      </c>
      <c r="N254" s="101" t="s">
        <v>1919</v>
      </c>
      <c r="O254" s="82" t="s">
        <v>1550</v>
      </c>
      <c r="P254" s="82">
        <v>19702</v>
      </c>
      <c r="R254" s="82" t="s">
        <v>37</v>
      </c>
      <c r="T254" s="82" t="s">
        <v>435</v>
      </c>
      <c r="U254" s="97">
        <v>1997</v>
      </c>
      <c r="V254" s="97">
        <v>1997</v>
      </c>
      <c r="W254" s="97" t="s">
        <v>593</v>
      </c>
      <c r="X254" s="97"/>
      <c r="Y254" s="102"/>
      <c r="Z254" s="102"/>
    </row>
    <row r="255" spans="1:26" s="82" customFormat="1" ht="45" x14ac:dyDescent="0.25">
      <c r="A255" s="82" t="s">
        <v>1920</v>
      </c>
      <c r="B255" s="82" t="s">
        <v>1921</v>
      </c>
      <c r="C255" s="82" t="str">
        <f t="shared" si="8"/>
        <v>NCC-099  - Old Claymont High School</v>
      </c>
      <c r="D255" s="96" t="s">
        <v>1922</v>
      </c>
      <c r="E255" s="96" t="s">
        <v>29</v>
      </c>
      <c r="F255" s="97" t="s">
        <v>276</v>
      </c>
      <c r="G255" s="97" t="s">
        <v>293</v>
      </c>
      <c r="H255" s="96" t="s">
        <v>502</v>
      </c>
      <c r="I255" s="99"/>
      <c r="J255" s="95">
        <v>5</v>
      </c>
      <c r="K255" s="95">
        <v>7</v>
      </c>
      <c r="L255" s="100" t="s">
        <v>1923</v>
      </c>
      <c r="M255" s="100" t="s">
        <v>1924</v>
      </c>
      <c r="N255" s="101" t="s">
        <v>1925</v>
      </c>
      <c r="O255" s="82" t="s">
        <v>1183</v>
      </c>
      <c r="P255" s="82">
        <v>19703</v>
      </c>
      <c r="R255" s="82" t="s">
        <v>37</v>
      </c>
      <c r="T255" s="82" t="s">
        <v>435</v>
      </c>
      <c r="U255" s="97">
        <v>1997</v>
      </c>
      <c r="V255" s="97">
        <v>1997</v>
      </c>
      <c r="W255" s="97" t="s">
        <v>593</v>
      </c>
      <c r="X255" s="97"/>
      <c r="Y255" s="102" t="s">
        <v>1926</v>
      </c>
      <c r="Z255" s="102" t="s">
        <v>1927</v>
      </c>
    </row>
    <row r="256" spans="1:26" s="82" customFormat="1" ht="45" x14ac:dyDescent="0.25">
      <c r="A256" s="82" t="s">
        <v>1928</v>
      </c>
      <c r="B256" s="82" t="s">
        <v>1929</v>
      </c>
      <c r="C256" s="82" t="str">
        <f t="shared" si="8"/>
        <v>NCC-100  - Christ Episcopal Church, Delaware City</v>
      </c>
      <c r="D256" s="96" t="s">
        <v>1507</v>
      </c>
      <c r="E256" s="96" t="s">
        <v>29</v>
      </c>
      <c r="F256" s="97" t="s">
        <v>191</v>
      </c>
      <c r="G256" s="97"/>
      <c r="H256" s="96"/>
      <c r="I256" s="99"/>
      <c r="J256" s="95">
        <v>12</v>
      </c>
      <c r="K256" s="95">
        <v>17</v>
      </c>
      <c r="L256" s="100" t="s">
        <v>1930</v>
      </c>
      <c r="M256" s="100" t="s">
        <v>1931</v>
      </c>
      <c r="N256" s="101" t="s">
        <v>1932</v>
      </c>
      <c r="O256" s="82" t="s">
        <v>1911</v>
      </c>
      <c r="P256" s="82">
        <v>19706</v>
      </c>
      <c r="R256" s="82" t="s">
        <v>37</v>
      </c>
      <c r="T256" s="82" t="s">
        <v>435</v>
      </c>
      <c r="U256" s="97">
        <v>1997</v>
      </c>
      <c r="V256" s="97">
        <v>1997</v>
      </c>
      <c r="W256" s="97" t="s">
        <v>593</v>
      </c>
      <c r="X256" s="97"/>
      <c r="Y256" s="102"/>
      <c r="Z256" s="102"/>
    </row>
    <row r="257" spans="1:26" s="82" customFormat="1" ht="51" x14ac:dyDescent="0.25">
      <c r="A257" s="82" t="s">
        <v>1933</v>
      </c>
      <c r="B257" s="82" t="s">
        <v>1934</v>
      </c>
      <c r="C257" s="82" t="str">
        <f t="shared" si="8"/>
        <v>NCC-101  - Brandywine Village</v>
      </c>
      <c r="D257" s="96" t="s">
        <v>1935</v>
      </c>
      <c r="E257" s="96" t="s">
        <v>29</v>
      </c>
      <c r="F257" s="97" t="s">
        <v>205</v>
      </c>
      <c r="G257" s="97"/>
      <c r="H257" s="96"/>
      <c r="I257" s="99"/>
      <c r="J257" s="95">
        <v>3</v>
      </c>
      <c r="K257" s="95">
        <v>13</v>
      </c>
      <c r="L257" s="100" t="s">
        <v>1936</v>
      </c>
      <c r="M257" s="100" t="s">
        <v>1937</v>
      </c>
      <c r="N257" s="101" t="s">
        <v>1938</v>
      </c>
      <c r="O257" s="82" t="s">
        <v>1205</v>
      </c>
      <c r="P257" s="82">
        <v>19802</v>
      </c>
      <c r="R257" s="82" t="s">
        <v>37</v>
      </c>
      <c r="T257" s="82" t="s">
        <v>435</v>
      </c>
      <c r="U257" s="97">
        <v>1997</v>
      </c>
      <c r="V257" s="97">
        <v>1997</v>
      </c>
      <c r="W257" s="97" t="s">
        <v>593</v>
      </c>
      <c r="X257" s="97"/>
      <c r="Y257" s="102"/>
      <c r="Z257" s="102"/>
    </row>
    <row r="258" spans="1:26" s="82" customFormat="1" ht="51" x14ac:dyDescent="0.25">
      <c r="A258" s="82" t="s">
        <v>1939</v>
      </c>
      <c r="B258" s="82" t="s">
        <v>1940</v>
      </c>
      <c r="C258" s="82" t="str">
        <f t="shared" si="8"/>
        <v>NCC-102  - Bethel A.M.E. Church</v>
      </c>
      <c r="D258" s="96" t="s">
        <v>1941</v>
      </c>
      <c r="E258" s="96" t="s">
        <v>29</v>
      </c>
      <c r="F258" s="97" t="s">
        <v>191</v>
      </c>
      <c r="G258" s="97" t="s">
        <v>293</v>
      </c>
      <c r="H258" s="96"/>
      <c r="I258" s="99" t="s">
        <v>1942</v>
      </c>
      <c r="J258" s="95">
        <v>7</v>
      </c>
      <c r="K258" s="95">
        <v>13</v>
      </c>
      <c r="L258" s="100" t="s">
        <v>1943</v>
      </c>
      <c r="M258" s="100" t="s">
        <v>1944</v>
      </c>
      <c r="N258" s="101" t="s">
        <v>1945</v>
      </c>
      <c r="O258" s="82" t="s">
        <v>1205</v>
      </c>
      <c r="P258" s="82">
        <v>19801</v>
      </c>
      <c r="R258" s="82" t="s">
        <v>37</v>
      </c>
      <c r="T258" s="82" t="s">
        <v>435</v>
      </c>
      <c r="U258" s="97">
        <v>1998</v>
      </c>
      <c r="V258" s="97">
        <v>1998</v>
      </c>
      <c r="W258" s="97" t="s">
        <v>593</v>
      </c>
      <c r="X258" s="97"/>
      <c r="Y258" s="102"/>
      <c r="Z258" s="102"/>
    </row>
    <row r="259" spans="1:26" s="82" customFormat="1" ht="105" x14ac:dyDescent="0.25">
      <c r="A259" s="82" t="s">
        <v>1946</v>
      </c>
      <c r="B259" s="82" t="s">
        <v>1947</v>
      </c>
      <c r="C259" s="82" t="str">
        <f t="shared" si="8"/>
        <v>NCC-103  - Long Hook (Home of Major Peter Jaquett)</v>
      </c>
      <c r="D259" s="96" t="s">
        <v>1948</v>
      </c>
      <c r="E259" s="96" t="s">
        <v>29</v>
      </c>
      <c r="F259" s="97" t="s">
        <v>30</v>
      </c>
      <c r="G259" s="97"/>
      <c r="H259" s="96" t="s">
        <v>354</v>
      </c>
      <c r="I259" s="99" t="s">
        <v>1949</v>
      </c>
      <c r="J259" s="95">
        <v>2</v>
      </c>
      <c r="K259" s="95">
        <v>16</v>
      </c>
      <c r="L259" s="100" t="s">
        <v>1950</v>
      </c>
      <c r="M259" s="100" t="s">
        <v>1951</v>
      </c>
      <c r="N259" s="101" t="s">
        <v>1952</v>
      </c>
      <c r="O259" s="82" t="s">
        <v>1205</v>
      </c>
      <c r="P259" s="82">
        <v>19802</v>
      </c>
      <c r="R259" s="82" t="s">
        <v>37</v>
      </c>
      <c r="S259" s="82" t="s">
        <v>1953</v>
      </c>
      <c r="T259" s="82" t="s">
        <v>38</v>
      </c>
      <c r="U259" s="97" t="s">
        <v>1954</v>
      </c>
      <c r="V259" s="97">
        <v>1999</v>
      </c>
      <c r="W259" s="97" t="s">
        <v>39</v>
      </c>
      <c r="X259" s="97">
        <v>2022</v>
      </c>
      <c r="Y259" s="102" t="s">
        <v>1955</v>
      </c>
      <c r="Z259" s="102" t="s">
        <v>1956</v>
      </c>
    </row>
    <row r="260" spans="1:26" s="82" customFormat="1" ht="45" x14ac:dyDescent="0.25">
      <c r="A260" s="82" t="s">
        <v>1957</v>
      </c>
      <c r="B260" s="82" t="s">
        <v>1958</v>
      </c>
      <c r="C260" s="82" t="str">
        <f t="shared" si="8"/>
        <v>NCC-104  - Ebenezer United Methodist Church</v>
      </c>
      <c r="D260" s="96" t="s">
        <v>1959</v>
      </c>
      <c r="E260" s="96" t="s">
        <v>29</v>
      </c>
      <c r="F260" s="97" t="s">
        <v>191</v>
      </c>
      <c r="G260" s="97"/>
      <c r="H260" s="96"/>
      <c r="I260" s="99" t="s">
        <v>1960</v>
      </c>
      <c r="J260" s="95">
        <v>8</v>
      </c>
      <c r="K260" s="95">
        <v>23</v>
      </c>
      <c r="L260" s="100" t="s">
        <v>1961</v>
      </c>
      <c r="M260" s="100" t="s">
        <v>1962</v>
      </c>
      <c r="N260" s="101" t="s">
        <v>1963</v>
      </c>
      <c r="O260" s="82" t="s">
        <v>1428</v>
      </c>
      <c r="P260" s="82">
        <v>19711</v>
      </c>
      <c r="Q260" s="82" t="s">
        <v>1958</v>
      </c>
      <c r="R260" s="82" t="s">
        <v>1964</v>
      </c>
      <c r="S260" s="82" t="s">
        <v>1965</v>
      </c>
      <c r="T260" s="82" t="s">
        <v>38</v>
      </c>
      <c r="U260" s="97" t="s">
        <v>1966</v>
      </c>
      <c r="V260" s="97">
        <v>1999</v>
      </c>
      <c r="W260" s="97" t="s">
        <v>39</v>
      </c>
      <c r="X260" s="97">
        <v>2025</v>
      </c>
      <c r="Y260" s="102"/>
      <c r="Z260" s="102"/>
    </row>
    <row r="261" spans="1:26" s="82" customFormat="1" ht="45" x14ac:dyDescent="0.25">
      <c r="A261" s="82" t="s">
        <v>1967</v>
      </c>
      <c r="B261" s="82" t="s">
        <v>1968</v>
      </c>
      <c r="C261" s="82" t="str">
        <f t="shared" si="8"/>
        <v>NCC-105  - Claymont Stone School</v>
      </c>
      <c r="D261" s="96" t="s">
        <v>1969</v>
      </c>
      <c r="E261" s="96" t="s">
        <v>29</v>
      </c>
      <c r="F261" s="97" t="s">
        <v>276</v>
      </c>
      <c r="G261" s="97"/>
      <c r="H261" s="96" t="s">
        <v>565</v>
      </c>
      <c r="I261" s="99"/>
      <c r="J261" s="95">
        <v>5</v>
      </c>
      <c r="K261" s="95">
        <v>7</v>
      </c>
      <c r="L261" s="100" t="s">
        <v>1970</v>
      </c>
      <c r="M261" s="100" t="s">
        <v>1971</v>
      </c>
      <c r="N261" s="101" t="s">
        <v>1972</v>
      </c>
      <c r="O261" s="82" t="s">
        <v>1183</v>
      </c>
      <c r="P261" s="82">
        <v>19703</v>
      </c>
      <c r="R261" s="82" t="s">
        <v>37</v>
      </c>
      <c r="T261" s="82" t="s">
        <v>38</v>
      </c>
      <c r="U261" s="97">
        <v>1999</v>
      </c>
      <c r="V261" s="97">
        <v>1999</v>
      </c>
      <c r="W261" s="97" t="s">
        <v>39</v>
      </c>
      <c r="X261" s="97"/>
      <c r="Y261" s="131" t="s">
        <v>1973</v>
      </c>
      <c r="Z261" s="102" t="s">
        <v>1974</v>
      </c>
    </row>
    <row r="262" spans="1:26" s="82" customFormat="1" ht="45" x14ac:dyDescent="0.25">
      <c r="A262" s="82" t="s">
        <v>1975</v>
      </c>
      <c r="B262" s="82" t="s">
        <v>1976</v>
      </c>
      <c r="C262" s="82" t="str">
        <f t="shared" si="8"/>
        <v>NCC-106  - Deer Park Hotel</v>
      </c>
      <c r="D262" s="96" t="s">
        <v>1557</v>
      </c>
      <c r="E262" s="96" t="s">
        <v>29</v>
      </c>
      <c r="F262" s="97" t="s">
        <v>30</v>
      </c>
      <c r="G262" s="97"/>
      <c r="H262" s="96"/>
      <c r="I262" s="99"/>
      <c r="J262" s="95">
        <v>8</v>
      </c>
      <c r="K262" s="95">
        <v>23</v>
      </c>
      <c r="L262" s="100" t="s">
        <v>1977</v>
      </c>
      <c r="M262" s="100" t="s">
        <v>1978</v>
      </c>
      <c r="N262" s="101" t="s">
        <v>1979</v>
      </c>
      <c r="O262" s="82" t="s">
        <v>1428</v>
      </c>
      <c r="P262" s="82">
        <v>19716</v>
      </c>
      <c r="R262" s="82" t="s">
        <v>37</v>
      </c>
      <c r="S262" s="82" t="s">
        <v>1980</v>
      </c>
      <c r="T262" s="82" t="s">
        <v>435</v>
      </c>
      <c r="U262" s="97">
        <v>1999</v>
      </c>
      <c r="V262" s="97">
        <v>1999</v>
      </c>
      <c r="W262" s="97" t="s">
        <v>593</v>
      </c>
      <c r="X262" s="97"/>
      <c r="Y262" s="102" t="s">
        <v>1981</v>
      </c>
      <c r="Z262" s="102" t="s">
        <v>1982</v>
      </c>
    </row>
    <row r="263" spans="1:26" s="82" customFormat="1" ht="45" x14ac:dyDescent="0.25">
      <c r="A263" s="82" t="s">
        <v>1983</v>
      </c>
      <c r="B263" s="82" t="s">
        <v>1984</v>
      </c>
      <c r="C263" s="82" t="str">
        <f t="shared" si="8"/>
        <v>NCC-107  - Wilmington Friends School</v>
      </c>
      <c r="D263" s="96" t="s">
        <v>1985</v>
      </c>
      <c r="E263" s="96" t="s">
        <v>29</v>
      </c>
      <c r="F263" s="97" t="s">
        <v>276</v>
      </c>
      <c r="G263" s="97"/>
      <c r="H263" s="96"/>
      <c r="I263" s="99"/>
      <c r="J263" s="95">
        <v>1</v>
      </c>
      <c r="K263" s="95">
        <v>12</v>
      </c>
      <c r="L263" s="100" t="s">
        <v>1986</v>
      </c>
      <c r="M263" s="100" t="s">
        <v>1987</v>
      </c>
      <c r="N263" s="101" t="s">
        <v>1988</v>
      </c>
      <c r="O263" s="82" t="s">
        <v>1205</v>
      </c>
      <c r="P263" s="82">
        <v>19806</v>
      </c>
      <c r="R263" s="82" t="s">
        <v>37</v>
      </c>
      <c r="S263" s="82" t="s">
        <v>1989</v>
      </c>
      <c r="T263" s="82" t="s">
        <v>435</v>
      </c>
      <c r="U263" s="97">
        <v>1998</v>
      </c>
      <c r="V263" s="97"/>
      <c r="W263" s="97" t="s">
        <v>593</v>
      </c>
      <c r="X263" s="97"/>
      <c r="Y263" s="102"/>
      <c r="Z263" s="102"/>
    </row>
    <row r="264" spans="1:26" s="82" customFormat="1" ht="30" x14ac:dyDescent="0.25">
      <c r="A264" s="82" t="s">
        <v>1990</v>
      </c>
      <c r="B264" s="82" t="s">
        <v>1991</v>
      </c>
      <c r="C264" s="82" t="str">
        <f t="shared" si="8"/>
        <v>NCC-108  - Gibraltar</v>
      </c>
      <c r="D264" s="96" t="s">
        <v>1992</v>
      </c>
      <c r="E264" s="96" t="s">
        <v>29</v>
      </c>
      <c r="F264" s="97" t="s">
        <v>30</v>
      </c>
      <c r="G264" s="97"/>
      <c r="H264" s="96"/>
      <c r="I264" s="99" t="s">
        <v>301</v>
      </c>
      <c r="J264" s="95">
        <v>1</v>
      </c>
      <c r="K264" s="95">
        <v>12</v>
      </c>
      <c r="L264" s="100" t="s">
        <v>1993</v>
      </c>
      <c r="M264" s="100" t="s">
        <v>1994</v>
      </c>
      <c r="N264" s="101" t="s">
        <v>1995</v>
      </c>
      <c r="O264" s="82" t="s">
        <v>1205</v>
      </c>
      <c r="P264" s="82">
        <v>19806</v>
      </c>
      <c r="R264" s="82" t="s">
        <v>37</v>
      </c>
      <c r="S264" s="82" t="s">
        <v>1996</v>
      </c>
      <c r="T264" s="82" t="s">
        <v>435</v>
      </c>
      <c r="U264" s="97">
        <v>1999</v>
      </c>
      <c r="V264" s="97"/>
      <c r="W264" s="97" t="s">
        <v>593</v>
      </c>
      <c r="X264" s="97"/>
      <c r="Y264" s="102"/>
      <c r="Z264" s="102"/>
    </row>
    <row r="265" spans="1:26" s="82" customFormat="1" ht="38.25" x14ac:dyDescent="0.25">
      <c r="A265" s="82" t="s">
        <v>1997</v>
      </c>
      <c r="B265" s="82" t="s">
        <v>1998</v>
      </c>
      <c r="C265" s="82" t="str">
        <f t="shared" si="8"/>
        <v>NCC-109  - Kentmere Parkway</v>
      </c>
      <c r="D265" s="96" t="s">
        <v>1999</v>
      </c>
      <c r="E265" s="96" t="s">
        <v>130</v>
      </c>
      <c r="F265" s="97" t="s">
        <v>30</v>
      </c>
      <c r="G265" s="97"/>
      <c r="H265" s="96"/>
      <c r="I265" s="99"/>
      <c r="J265" s="95">
        <v>1</v>
      </c>
      <c r="K265" s="95">
        <v>12</v>
      </c>
      <c r="L265" s="100" t="s">
        <v>2000</v>
      </c>
      <c r="M265" s="100" t="s">
        <v>2001</v>
      </c>
      <c r="N265" s="101" t="s">
        <v>2002</v>
      </c>
      <c r="O265" s="82" t="s">
        <v>1205</v>
      </c>
      <c r="P265" s="82">
        <v>19806</v>
      </c>
      <c r="R265" s="82" t="s">
        <v>37</v>
      </c>
      <c r="T265" s="82" t="s">
        <v>435</v>
      </c>
      <c r="U265" s="97">
        <v>2000</v>
      </c>
      <c r="V265" s="97">
        <v>2000</v>
      </c>
      <c r="W265" s="97" t="s">
        <v>593</v>
      </c>
      <c r="X265" s="97">
        <v>2020</v>
      </c>
      <c r="Y265" s="102"/>
      <c r="Z265" s="102"/>
    </row>
    <row r="266" spans="1:26" s="82" customFormat="1" ht="45" x14ac:dyDescent="0.25">
      <c r="A266" s="82" t="s">
        <v>2003</v>
      </c>
      <c r="B266" s="82" t="s">
        <v>2004</v>
      </c>
      <c r="C266" s="82" t="str">
        <f t="shared" si="8"/>
        <v>NCC-110  - Rockford Tower</v>
      </c>
      <c r="D266" s="115" t="s">
        <v>2005</v>
      </c>
      <c r="E266" s="96" t="s">
        <v>29</v>
      </c>
      <c r="F266" s="97" t="s">
        <v>30</v>
      </c>
      <c r="G266" s="97"/>
      <c r="H266" s="96" t="s">
        <v>2006</v>
      </c>
      <c r="I266" s="99" t="s">
        <v>2007</v>
      </c>
      <c r="J266" s="95">
        <v>1</v>
      </c>
      <c r="K266" s="95">
        <v>12</v>
      </c>
      <c r="L266" s="100" t="s">
        <v>2008</v>
      </c>
      <c r="M266" s="100" t="s">
        <v>2009</v>
      </c>
      <c r="N266" s="101" t="s">
        <v>2010</v>
      </c>
      <c r="O266" s="82" t="s">
        <v>1205</v>
      </c>
      <c r="P266" s="82">
        <v>19806</v>
      </c>
      <c r="R266" s="82" t="s">
        <v>37</v>
      </c>
      <c r="S266" s="82" t="s">
        <v>2011</v>
      </c>
      <c r="T266" s="82" t="s">
        <v>38</v>
      </c>
      <c r="U266" s="97" t="s">
        <v>478</v>
      </c>
      <c r="V266" s="97">
        <v>2000</v>
      </c>
      <c r="W266" s="97" t="s">
        <v>39</v>
      </c>
      <c r="X266" s="97" t="s">
        <v>2012</v>
      </c>
      <c r="Y266" s="114" t="s">
        <v>2013</v>
      </c>
      <c r="Z266" s="114" t="s">
        <v>2014</v>
      </c>
    </row>
    <row r="267" spans="1:26" s="82" customFormat="1" ht="38.25" x14ac:dyDescent="0.25">
      <c r="A267" s="82" t="s">
        <v>2015</v>
      </c>
      <c r="B267" s="82" t="s">
        <v>2016</v>
      </c>
      <c r="C267" s="82" t="str">
        <f t="shared" si="8"/>
        <v>NCC-111  - New Castle United Methodist Church</v>
      </c>
      <c r="D267" s="96" t="s">
        <v>2017</v>
      </c>
      <c r="E267" s="96" t="s">
        <v>130</v>
      </c>
      <c r="F267" s="97" t="s">
        <v>191</v>
      </c>
      <c r="G267" s="97"/>
      <c r="H267" s="96"/>
      <c r="I267" s="99" t="s">
        <v>301</v>
      </c>
      <c r="J267" s="95">
        <v>12</v>
      </c>
      <c r="K267" s="95">
        <v>17</v>
      </c>
      <c r="L267" s="100" t="s">
        <v>2018</v>
      </c>
      <c r="M267" s="100" t="s">
        <v>2019</v>
      </c>
      <c r="N267" s="101" t="s">
        <v>2020</v>
      </c>
      <c r="O267" s="82" t="s">
        <v>1268</v>
      </c>
      <c r="P267" s="82">
        <v>19720</v>
      </c>
      <c r="R267" s="82" t="s">
        <v>37</v>
      </c>
      <c r="T267" s="82" t="s">
        <v>435</v>
      </c>
      <c r="U267" s="97">
        <v>2000</v>
      </c>
      <c r="V267" s="97">
        <v>2000</v>
      </c>
      <c r="W267" s="97" t="s">
        <v>593</v>
      </c>
      <c r="X267" s="97"/>
      <c r="Y267" s="102"/>
      <c r="Z267" s="102"/>
    </row>
    <row r="268" spans="1:26" s="82" customFormat="1" ht="30" x14ac:dyDescent="0.25">
      <c r="A268" s="82" t="s">
        <v>2021</v>
      </c>
      <c r="B268" s="82" t="s">
        <v>2022</v>
      </c>
      <c r="C268" s="82" t="str">
        <f t="shared" si="8"/>
        <v>NCC-112  - Scott AME Zion Church</v>
      </c>
      <c r="D268" s="96" t="s">
        <v>1747</v>
      </c>
      <c r="E268" s="96" t="s">
        <v>130</v>
      </c>
      <c r="F268" s="97" t="s">
        <v>2023</v>
      </c>
      <c r="G268" s="97" t="s">
        <v>293</v>
      </c>
      <c r="H268" s="96"/>
      <c r="I268" s="99"/>
      <c r="J268" s="95">
        <v>3</v>
      </c>
      <c r="K268" s="95">
        <v>2</v>
      </c>
      <c r="L268" s="100" t="s">
        <v>2024</v>
      </c>
      <c r="M268" s="100" t="s">
        <v>2025</v>
      </c>
      <c r="N268" s="101" t="s">
        <v>2026</v>
      </c>
      <c r="O268" s="82" t="s">
        <v>1205</v>
      </c>
      <c r="P268" s="82">
        <v>19801</v>
      </c>
      <c r="R268" s="82" t="s">
        <v>37</v>
      </c>
      <c r="S268" s="82" t="s">
        <v>1980</v>
      </c>
      <c r="T268" s="82" t="s">
        <v>435</v>
      </c>
      <c r="U268" s="97">
        <v>2001</v>
      </c>
      <c r="V268" s="97">
        <v>2001</v>
      </c>
      <c r="W268" s="97" t="s">
        <v>593</v>
      </c>
      <c r="X268" s="97"/>
      <c r="Y268" s="102"/>
      <c r="Z268" s="102"/>
    </row>
    <row r="269" spans="1:26" s="82" customFormat="1" ht="45" x14ac:dyDescent="0.25">
      <c r="A269" s="82" t="s">
        <v>2027</v>
      </c>
      <c r="B269" s="82" t="s">
        <v>2028</v>
      </c>
      <c r="C269" s="82" t="str">
        <f t="shared" si="8"/>
        <v>NCC-113  - Frank E. Schoonover Studios</v>
      </c>
      <c r="D269" s="96" t="s">
        <v>2029</v>
      </c>
      <c r="E269" s="96" t="s">
        <v>29</v>
      </c>
      <c r="F269" s="97" t="s">
        <v>30</v>
      </c>
      <c r="G269" s="97"/>
      <c r="H269" s="96"/>
      <c r="I269" s="99"/>
      <c r="J269" s="95">
        <v>1</v>
      </c>
      <c r="K269" s="95">
        <v>1</v>
      </c>
      <c r="L269" s="100" t="s">
        <v>2030</v>
      </c>
      <c r="M269" s="100" t="s">
        <v>2031</v>
      </c>
      <c r="N269" s="101" t="s">
        <v>2032</v>
      </c>
      <c r="O269" s="82" t="s">
        <v>1205</v>
      </c>
      <c r="P269" s="82">
        <v>19806</v>
      </c>
      <c r="R269" s="82" t="s">
        <v>37</v>
      </c>
      <c r="T269" s="82" t="s">
        <v>435</v>
      </c>
      <c r="U269" s="97">
        <v>2001</v>
      </c>
      <c r="V269" s="97">
        <v>2001</v>
      </c>
      <c r="W269" s="97" t="s">
        <v>593</v>
      </c>
      <c r="X269" s="97"/>
      <c r="Y269" s="102" t="s">
        <v>2033</v>
      </c>
      <c r="Z269" s="102" t="s">
        <v>2034</v>
      </c>
    </row>
    <row r="270" spans="1:26" s="82" customFormat="1" ht="45" x14ac:dyDescent="0.25">
      <c r="A270" s="82" t="s">
        <v>2035</v>
      </c>
      <c r="B270" s="82" t="s">
        <v>2036</v>
      </c>
      <c r="C270" s="82" t="str">
        <f t="shared" si="8"/>
        <v>NCC-114  - Grace Episcopal Church (Wilmington)</v>
      </c>
      <c r="D270" s="96" t="s">
        <v>1212</v>
      </c>
      <c r="E270" s="96" t="s">
        <v>346</v>
      </c>
      <c r="F270" s="97" t="s">
        <v>191</v>
      </c>
      <c r="G270" s="97"/>
      <c r="H270" s="96" t="s">
        <v>2037</v>
      </c>
      <c r="I270" s="99" t="s">
        <v>2038</v>
      </c>
      <c r="J270" s="95">
        <v>4</v>
      </c>
      <c r="K270" s="95">
        <v>10</v>
      </c>
      <c r="L270" s="100" t="s">
        <v>2039</v>
      </c>
      <c r="M270" s="100" t="s">
        <v>2040</v>
      </c>
      <c r="N270" s="101" t="s">
        <v>2041</v>
      </c>
      <c r="O270" s="82" t="s">
        <v>1205</v>
      </c>
      <c r="P270" s="82">
        <v>19803</v>
      </c>
      <c r="R270" s="82" t="s">
        <v>37</v>
      </c>
      <c r="T270" s="82" t="s">
        <v>435</v>
      </c>
      <c r="U270" s="97">
        <v>2001</v>
      </c>
      <c r="V270" s="97">
        <v>2001</v>
      </c>
      <c r="W270" s="97" t="s">
        <v>593</v>
      </c>
      <c r="X270" s="97"/>
      <c r="Y270" s="102" t="s">
        <v>2042</v>
      </c>
      <c r="Z270" s="102" t="s">
        <v>2043</v>
      </c>
    </row>
    <row r="271" spans="1:26" s="82" customFormat="1" ht="45" x14ac:dyDescent="0.25">
      <c r="A271" s="82" t="s">
        <v>2044</v>
      </c>
      <c r="B271" s="82" t="s">
        <v>2045</v>
      </c>
      <c r="C271" s="82" t="str">
        <f t="shared" si="8"/>
        <v>NCC-115  - Head of Christiana Presbyterian Church</v>
      </c>
      <c r="D271" s="96" t="s">
        <v>2046</v>
      </c>
      <c r="E271" s="96" t="s">
        <v>29</v>
      </c>
      <c r="F271" s="97" t="s">
        <v>2023</v>
      </c>
      <c r="G271" s="97"/>
      <c r="H271" s="96"/>
      <c r="I271" s="99"/>
      <c r="J271" s="95">
        <v>8</v>
      </c>
      <c r="K271" s="95">
        <v>23</v>
      </c>
      <c r="L271" s="100" t="s">
        <v>2047</v>
      </c>
      <c r="M271" s="100" t="s">
        <v>2048</v>
      </c>
      <c r="N271" s="101" t="s">
        <v>2049</v>
      </c>
      <c r="O271" s="82" t="s">
        <v>1428</v>
      </c>
      <c r="P271" s="82">
        <v>19711</v>
      </c>
      <c r="R271" s="82" t="s">
        <v>37</v>
      </c>
      <c r="T271" s="82" t="s">
        <v>435</v>
      </c>
      <c r="U271" s="97">
        <v>2001</v>
      </c>
      <c r="V271" s="97">
        <v>2001</v>
      </c>
      <c r="W271" s="97" t="s">
        <v>593</v>
      </c>
      <c r="X271" s="97"/>
      <c r="Y271" s="102" t="s">
        <v>2050</v>
      </c>
      <c r="Z271" s="102" t="s">
        <v>2051</v>
      </c>
    </row>
    <row r="272" spans="1:26" s="82" customFormat="1" ht="30" x14ac:dyDescent="0.25">
      <c r="A272" s="82" t="s">
        <v>2052</v>
      </c>
      <c r="B272" s="82" t="s">
        <v>2053</v>
      </c>
      <c r="C272" s="82" t="str">
        <f t="shared" si="8"/>
        <v>NCC-116  - R.T. Foard &amp; Jones Funeral Home</v>
      </c>
      <c r="D272" s="96" t="s">
        <v>2054</v>
      </c>
      <c r="E272" s="96" t="s">
        <v>130</v>
      </c>
      <c r="F272" s="97" t="s">
        <v>30</v>
      </c>
      <c r="G272" s="97"/>
      <c r="H272" s="96"/>
      <c r="I272" s="99" t="s">
        <v>2055</v>
      </c>
      <c r="J272" s="95">
        <v>8</v>
      </c>
      <c r="K272" s="95">
        <v>23</v>
      </c>
      <c r="L272" s="100" t="s">
        <v>2056</v>
      </c>
      <c r="M272" s="100" t="s">
        <v>2057</v>
      </c>
      <c r="N272" s="101" t="s">
        <v>2058</v>
      </c>
      <c r="O272" s="82" t="s">
        <v>1428</v>
      </c>
      <c r="P272" s="82">
        <v>19716</v>
      </c>
      <c r="R272" s="82" t="s">
        <v>37</v>
      </c>
      <c r="S272" s="82" t="s">
        <v>1980</v>
      </c>
      <c r="T272" s="82" t="s">
        <v>435</v>
      </c>
      <c r="U272" s="97">
        <v>2001</v>
      </c>
      <c r="V272" s="97">
        <v>2001</v>
      </c>
      <c r="W272" s="97" t="s">
        <v>593</v>
      </c>
      <c r="X272" s="97"/>
      <c r="Y272" s="102"/>
      <c r="Z272" s="102"/>
    </row>
    <row r="273" spans="1:26" s="82" customFormat="1" ht="45" x14ac:dyDescent="0.25">
      <c r="A273" s="82" t="s">
        <v>2059</v>
      </c>
      <c r="B273" s="82" t="s">
        <v>2060</v>
      </c>
      <c r="C273" s="82" t="str">
        <f t="shared" si="8"/>
        <v>NCC-117  - Old Union Methodist Church</v>
      </c>
      <c r="D273" s="96" t="s">
        <v>2061</v>
      </c>
      <c r="E273" s="96" t="s">
        <v>29</v>
      </c>
      <c r="F273" s="97" t="s">
        <v>191</v>
      </c>
      <c r="G273" s="97"/>
      <c r="H273" s="96" t="s">
        <v>2062</v>
      </c>
      <c r="I273" s="99" t="s">
        <v>2063</v>
      </c>
      <c r="J273" s="95">
        <v>14</v>
      </c>
      <c r="K273" s="95">
        <v>11</v>
      </c>
      <c r="L273" s="100" t="s">
        <v>2064</v>
      </c>
      <c r="M273" s="100" t="s">
        <v>2065</v>
      </c>
      <c r="N273" s="101" t="s">
        <v>2066</v>
      </c>
      <c r="O273" s="82" t="s">
        <v>1515</v>
      </c>
      <c r="P273" s="82">
        <v>19734</v>
      </c>
      <c r="Q273" s="82" t="s">
        <v>2067</v>
      </c>
      <c r="R273" s="82" t="s">
        <v>2068</v>
      </c>
      <c r="T273" s="82" t="s">
        <v>1269</v>
      </c>
      <c r="U273" s="97">
        <v>2001</v>
      </c>
      <c r="V273" s="97">
        <v>2001</v>
      </c>
      <c r="W273" s="97" t="s">
        <v>1292</v>
      </c>
      <c r="X273" s="97"/>
      <c r="Y273" s="102" t="s">
        <v>2069</v>
      </c>
      <c r="Z273" s="102" t="s">
        <v>2070</v>
      </c>
    </row>
    <row r="274" spans="1:26" s="82" customFormat="1" ht="45" x14ac:dyDescent="0.25">
      <c r="A274" s="82" t="s">
        <v>2071</v>
      </c>
      <c r="B274" s="82" t="s">
        <v>1290</v>
      </c>
      <c r="C274" s="82" t="str">
        <f t="shared" si="8"/>
        <v>NCC-118  - Middletown</v>
      </c>
      <c r="D274" s="96" t="s">
        <v>2072</v>
      </c>
      <c r="E274" s="96" t="s">
        <v>29</v>
      </c>
      <c r="F274" s="97" t="s">
        <v>205</v>
      </c>
      <c r="G274" s="97"/>
      <c r="H274" s="96"/>
      <c r="I274" s="99" t="s">
        <v>2073</v>
      </c>
      <c r="J274" s="95">
        <v>10</v>
      </c>
      <c r="K274" s="95">
        <v>8</v>
      </c>
      <c r="L274" s="100" t="s">
        <v>2074</v>
      </c>
      <c r="M274" s="100" t="s">
        <v>2075</v>
      </c>
      <c r="N274" s="101" t="s">
        <v>2076</v>
      </c>
      <c r="O274" s="82" t="s">
        <v>1290</v>
      </c>
      <c r="P274" s="82">
        <v>19709</v>
      </c>
      <c r="R274" s="82" t="s">
        <v>37</v>
      </c>
      <c r="T274" s="82" t="s">
        <v>435</v>
      </c>
      <c r="U274" s="97">
        <v>2001</v>
      </c>
      <c r="V274" s="97">
        <v>2001</v>
      </c>
      <c r="W274" s="97" t="s">
        <v>593</v>
      </c>
      <c r="X274" s="97"/>
      <c r="Y274" s="102" t="s">
        <v>2077</v>
      </c>
      <c r="Z274" s="102" t="s">
        <v>2078</v>
      </c>
    </row>
    <row r="275" spans="1:26" s="82" customFormat="1" ht="30" x14ac:dyDescent="0.25">
      <c r="A275" s="104" t="s">
        <v>2079</v>
      </c>
      <c r="B275" s="104" t="s">
        <v>2080</v>
      </c>
      <c r="C275" s="104" t="str">
        <f t="shared" si="8"/>
        <v>NCC-119  - The Stone Mansion</v>
      </c>
      <c r="D275" s="116">
        <v>45265</v>
      </c>
      <c r="E275" s="106" t="s">
        <v>71</v>
      </c>
      <c r="F275" s="107" t="s">
        <v>30</v>
      </c>
      <c r="G275" s="107"/>
      <c r="H275" s="106"/>
      <c r="I275" s="108" t="s">
        <v>2081</v>
      </c>
      <c r="J275" s="105">
        <v>12</v>
      </c>
      <c r="K275" s="105">
        <v>17</v>
      </c>
      <c r="L275" s="143" t="s">
        <v>2082</v>
      </c>
      <c r="M275" s="143" t="s">
        <v>2083</v>
      </c>
      <c r="N275" s="110" t="s">
        <v>2084</v>
      </c>
      <c r="O275" s="104" t="s">
        <v>2085</v>
      </c>
      <c r="P275" s="104">
        <v>19720</v>
      </c>
      <c r="Q275" s="104"/>
      <c r="R275" s="104" t="s">
        <v>37</v>
      </c>
      <c r="S275" s="104"/>
      <c r="T275" s="104" t="s">
        <v>435</v>
      </c>
      <c r="U275" s="107">
        <v>2001</v>
      </c>
      <c r="V275" s="107">
        <v>2001</v>
      </c>
      <c r="W275" s="107" t="s">
        <v>593</v>
      </c>
      <c r="X275" s="107"/>
      <c r="Y275" s="111"/>
      <c r="Z275" s="111"/>
    </row>
    <row r="276" spans="1:26" s="104" customFormat="1" ht="45" x14ac:dyDescent="0.25">
      <c r="A276" s="82" t="s">
        <v>2086</v>
      </c>
      <c r="B276" s="82" t="s">
        <v>2087</v>
      </c>
      <c r="C276" s="82" t="str">
        <f t="shared" ref="C276:C307" si="9">A276 &amp; " - " &amp; B276</f>
        <v>NCC-120 - Chester-Bethel United Methodist Church</v>
      </c>
      <c r="D276" s="96" t="s">
        <v>1799</v>
      </c>
      <c r="E276" s="96" t="s">
        <v>130</v>
      </c>
      <c r="F276" s="97" t="s">
        <v>191</v>
      </c>
      <c r="G276" s="97"/>
      <c r="H276" s="96"/>
      <c r="I276" s="99" t="s">
        <v>2088</v>
      </c>
      <c r="J276" s="95">
        <v>5</v>
      </c>
      <c r="K276" s="95">
        <v>10</v>
      </c>
      <c r="L276" s="100" t="s">
        <v>2089</v>
      </c>
      <c r="M276" s="100" t="s">
        <v>2090</v>
      </c>
      <c r="N276" s="101" t="s">
        <v>2091</v>
      </c>
      <c r="O276" s="82" t="s">
        <v>1205</v>
      </c>
      <c r="P276" s="82">
        <v>19810</v>
      </c>
      <c r="Q276" s="82"/>
      <c r="R276" s="82" t="s">
        <v>37</v>
      </c>
      <c r="S276" s="82"/>
      <c r="T276" s="82" t="s">
        <v>435</v>
      </c>
      <c r="U276" s="97">
        <v>2001</v>
      </c>
      <c r="V276" s="97">
        <v>2001</v>
      </c>
      <c r="W276" s="97" t="s">
        <v>593</v>
      </c>
      <c r="X276" s="97"/>
      <c r="Y276" s="102" t="s">
        <v>2092</v>
      </c>
      <c r="Z276" s="102" t="s">
        <v>2093</v>
      </c>
    </row>
    <row r="277" spans="1:26" s="82" customFormat="1" ht="28.5" x14ac:dyDescent="0.25">
      <c r="A277" s="82" t="s">
        <v>2094</v>
      </c>
      <c r="B277" s="82" t="s">
        <v>2095</v>
      </c>
      <c r="C277" s="82" t="str">
        <f t="shared" si="9"/>
        <v>NCC-121  - Cool Spring Park</v>
      </c>
      <c r="D277" s="96" t="s">
        <v>2096</v>
      </c>
      <c r="E277" s="96" t="s">
        <v>346</v>
      </c>
      <c r="F277" s="97" t="s">
        <v>30</v>
      </c>
      <c r="G277" s="97"/>
      <c r="H277" s="96"/>
      <c r="I277" s="99" t="s">
        <v>301</v>
      </c>
      <c r="J277" s="95">
        <v>3</v>
      </c>
      <c r="K277" s="95">
        <v>3</v>
      </c>
      <c r="L277" s="100" t="s">
        <v>2097</v>
      </c>
      <c r="M277" s="100" t="s">
        <v>2098</v>
      </c>
      <c r="N277" s="101" t="s">
        <v>2099</v>
      </c>
      <c r="O277" s="82" t="s">
        <v>1205</v>
      </c>
      <c r="P277" s="82">
        <v>19806</v>
      </c>
      <c r="R277" s="82" t="s">
        <v>37</v>
      </c>
      <c r="T277" s="82" t="s">
        <v>435</v>
      </c>
      <c r="U277" s="97">
        <v>2001</v>
      </c>
      <c r="V277" s="97">
        <v>2001</v>
      </c>
      <c r="W277" s="97" t="s">
        <v>593</v>
      </c>
      <c r="X277" s="97"/>
      <c r="Y277" s="102"/>
      <c r="Z277" s="102"/>
    </row>
    <row r="278" spans="1:26" s="82" customFormat="1" ht="30" x14ac:dyDescent="0.25">
      <c r="A278" s="82" t="s">
        <v>2100</v>
      </c>
      <c r="B278" s="82" t="s">
        <v>2101</v>
      </c>
      <c r="C278" s="82" t="str">
        <f t="shared" si="9"/>
        <v>NCC-122  - St. John the Baptist Church (Newark)</v>
      </c>
      <c r="D278" s="96" t="s">
        <v>2102</v>
      </c>
      <c r="E278" s="96" t="s">
        <v>29</v>
      </c>
      <c r="F278" s="97" t="s">
        <v>191</v>
      </c>
      <c r="G278" s="97"/>
      <c r="H278" s="96"/>
      <c r="I278" s="99"/>
      <c r="J278" s="95">
        <v>8</v>
      </c>
      <c r="K278" s="95">
        <v>23</v>
      </c>
      <c r="L278" s="100" t="s">
        <v>2103</v>
      </c>
      <c r="M278" s="100" t="s">
        <v>2104</v>
      </c>
      <c r="N278" s="101" t="s">
        <v>2105</v>
      </c>
      <c r="O278" s="82" t="s">
        <v>1428</v>
      </c>
      <c r="P278" s="82">
        <v>19716</v>
      </c>
      <c r="R278" s="82" t="s">
        <v>37</v>
      </c>
      <c r="T278" s="82" t="s">
        <v>435</v>
      </c>
      <c r="U278" s="97">
        <v>2002</v>
      </c>
      <c r="V278" s="97">
        <v>2002</v>
      </c>
      <c r="W278" s="97" t="s">
        <v>593</v>
      </c>
      <c r="X278" s="97"/>
      <c r="Y278" s="102"/>
      <c r="Z278" s="102"/>
    </row>
    <row r="279" spans="1:26" s="82" customFormat="1" ht="45" x14ac:dyDescent="0.25">
      <c r="A279" s="82" t="s">
        <v>2106</v>
      </c>
      <c r="B279" s="82" t="s">
        <v>2107</v>
      </c>
      <c r="C279" s="82" t="str">
        <f t="shared" si="9"/>
        <v>NCC-123  - Church of the Ascension (Claymont)</v>
      </c>
      <c r="D279" s="96" t="s">
        <v>1969</v>
      </c>
      <c r="E279" s="96" t="s">
        <v>29</v>
      </c>
      <c r="F279" s="97" t="s">
        <v>191</v>
      </c>
      <c r="G279" s="97"/>
      <c r="H279" s="96"/>
      <c r="I279" s="99"/>
      <c r="J279" s="95">
        <v>5</v>
      </c>
      <c r="K279" s="95">
        <v>7</v>
      </c>
      <c r="L279" s="100" t="s">
        <v>2108</v>
      </c>
      <c r="M279" s="100" t="s">
        <v>2109</v>
      </c>
      <c r="N279" s="101" t="s">
        <v>2110</v>
      </c>
      <c r="O279" s="82" t="s">
        <v>1183</v>
      </c>
      <c r="P279" s="82">
        <v>19703</v>
      </c>
      <c r="R279" s="82" t="s">
        <v>37</v>
      </c>
      <c r="S279" s="82" t="s">
        <v>2111</v>
      </c>
      <c r="T279" s="82" t="s">
        <v>435</v>
      </c>
      <c r="U279" s="97">
        <v>2002</v>
      </c>
      <c r="V279" s="98">
        <v>37506</v>
      </c>
      <c r="W279" s="97" t="s">
        <v>593</v>
      </c>
      <c r="X279" s="97">
        <v>2018</v>
      </c>
      <c r="Y279" s="102" t="s">
        <v>2112</v>
      </c>
      <c r="Z279" s="102" t="s">
        <v>2113</v>
      </c>
    </row>
    <row r="280" spans="1:26" s="82" customFormat="1" ht="30" x14ac:dyDescent="0.25">
      <c r="A280" s="82" t="s">
        <v>2114</v>
      </c>
      <c r="B280" s="82" t="s">
        <v>2115</v>
      </c>
      <c r="C280" s="82" t="str">
        <f t="shared" si="9"/>
        <v>NCC-124  - Pencader Presbyterian Church</v>
      </c>
      <c r="D280" s="96" t="s">
        <v>2116</v>
      </c>
      <c r="E280" s="96" t="s">
        <v>346</v>
      </c>
      <c r="F280" s="97" t="s">
        <v>191</v>
      </c>
      <c r="G280" s="97"/>
      <c r="H280" s="96" t="s">
        <v>347</v>
      </c>
      <c r="I280" s="99"/>
      <c r="J280" s="95">
        <v>11</v>
      </c>
      <c r="K280" s="95">
        <v>27</v>
      </c>
      <c r="L280" s="100" t="s">
        <v>2117</v>
      </c>
      <c r="M280" s="100" t="s">
        <v>2118</v>
      </c>
      <c r="N280" s="101" t="s">
        <v>2119</v>
      </c>
      <c r="O280" s="82" t="s">
        <v>1428</v>
      </c>
      <c r="P280" s="82">
        <v>19702</v>
      </c>
      <c r="R280" s="82" t="s">
        <v>37</v>
      </c>
      <c r="T280" s="82" t="s">
        <v>435</v>
      </c>
      <c r="U280" s="97">
        <v>2002</v>
      </c>
      <c r="V280" s="97">
        <v>2002</v>
      </c>
      <c r="W280" s="97" t="s">
        <v>593</v>
      </c>
      <c r="X280" s="97"/>
      <c r="Y280" s="131" t="s">
        <v>2120</v>
      </c>
      <c r="Z280" s="131" t="s">
        <v>2121</v>
      </c>
    </row>
    <row r="281" spans="1:26" s="82" customFormat="1" ht="45" x14ac:dyDescent="0.25">
      <c r="A281" s="82" t="s">
        <v>2122</v>
      </c>
      <c r="B281" s="82" t="s">
        <v>2123</v>
      </c>
      <c r="C281" s="82" t="str">
        <f t="shared" si="9"/>
        <v>NCC-125  - Wilmington Friends Meeting - Burial Thomas Garrett</v>
      </c>
      <c r="D281" s="96" t="s">
        <v>2124</v>
      </c>
      <c r="E281" s="96" t="s">
        <v>29</v>
      </c>
      <c r="F281" s="97" t="s">
        <v>191</v>
      </c>
      <c r="G281" s="97" t="s">
        <v>293</v>
      </c>
      <c r="H281" s="96"/>
      <c r="I281" s="99"/>
      <c r="J281" s="95">
        <v>3</v>
      </c>
      <c r="K281" s="95">
        <v>3</v>
      </c>
      <c r="L281" s="100" t="s">
        <v>2125</v>
      </c>
      <c r="M281" s="100" t="s">
        <v>2126</v>
      </c>
      <c r="N281" s="101" t="s">
        <v>2127</v>
      </c>
      <c r="O281" s="82" t="s">
        <v>1205</v>
      </c>
      <c r="P281" s="82">
        <v>19801</v>
      </c>
      <c r="R281" s="82" t="s">
        <v>37</v>
      </c>
      <c r="S281" s="82" t="s">
        <v>2128</v>
      </c>
      <c r="T281" s="82" t="s">
        <v>435</v>
      </c>
      <c r="U281" s="97">
        <v>2002</v>
      </c>
      <c r="V281" s="97">
        <v>2002</v>
      </c>
      <c r="W281" s="97" t="s">
        <v>593</v>
      </c>
      <c r="X281" s="97"/>
      <c r="Y281" s="114" t="s">
        <v>2129</v>
      </c>
      <c r="Z281" s="114" t="s">
        <v>2130</v>
      </c>
    </row>
    <row r="282" spans="1:26" s="82" customFormat="1" ht="45" x14ac:dyDescent="0.25">
      <c r="A282" s="82" t="s">
        <v>2131</v>
      </c>
      <c r="B282" s="82" t="s">
        <v>2132</v>
      </c>
      <c r="C282" s="82" t="str">
        <f t="shared" si="9"/>
        <v>NCC-126  - Sgt. James P. Connor Memorial Circle</v>
      </c>
      <c r="D282" s="96" t="s">
        <v>1507</v>
      </c>
      <c r="E282" s="96" t="s">
        <v>29</v>
      </c>
      <c r="F282" s="97" t="s">
        <v>62</v>
      </c>
      <c r="G282" s="97"/>
      <c r="H282" s="96"/>
      <c r="I282" s="99"/>
      <c r="J282" s="95">
        <v>10</v>
      </c>
      <c r="K282" s="95">
        <v>27</v>
      </c>
      <c r="L282" s="100" t="s">
        <v>2133</v>
      </c>
      <c r="M282" s="100" t="s">
        <v>2134</v>
      </c>
      <c r="N282" s="101" t="s">
        <v>2135</v>
      </c>
      <c r="O282" s="82" t="s">
        <v>1505</v>
      </c>
      <c r="P282" s="82">
        <v>19701</v>
      </c>
      <c r="R282" s="82" t="s">
        <v>37</v>
      </c>
      <c r="S282" s="82" t="s">
        <v>2136</v>
      </c>
      <c r="T282" s="82" t="s">
        <v>435</v>
      </c>
      <c r="U282" s="97">
        <v>2002</v>
      </c>
      <c r="V282" s="97">
        <v>2002</v>
      </c>
      <c r="W282" s="97" t="s">
        <v>593</v>
      </c>
      <c r="X282" s="97"/>
      <c r="Y282" s="102" t="s">
        <v>2137</v>
      </c>
      <c r="Z282" s="102" t="s">
        <v>2138</v>
      </c>
    </row>
    <row r="283" spans="1:26" s="82" customFormat="1" ht="30" x14ac:dyDescent="0.25">
      <c r="A283" s="82" t="s">
        <v>2139</v>
      </c>
      <c r="B283" s="82" t="s">
        <v>2140</v>
      </c>
      <c r="C283" s="82" t="str">
        <f t="shared" si="9"/>
        <v>NCC-127  - Site of DuPont Airfield</v>
      </c>
      <c r="D283" s="96" t="s">
        <v>1735</v>
      </c>
      <c r="E283" s="96" t="s">
        <v>29</v>
      </c>
      <c r="F283" s="97" t="s">
        <v>30</v>
      </c>
      <c r="G283" s="97"/>
      <c r="H283" s="96"/>
      <c r="I283" s="99" t="s">
        <v>2141</v>
      </c>
      <c r="J283" s="95">
        <v>4</v>
      </c>
      <c r="K283" s="95">
        <v>12</v>
      </c>
      <c r="L283" s="100" t="s">
        <v>2142</v>
      </c>
      <c r="M283" s="100" t="s">
        <v>2143</v>
      </c>
      <c r="N283" s="101" t="s">
        <v>2144</v>
      </c>
      <c r="O283" s="82" t="s">
        <v>1205</v>
      </c>
      <c r="P283" s="82">
        <v>19807</v>
      </c>
      <c r="R283" s="82" t="s">
        <v>37</v>
      </c>
      <c r="T283" s="82" t="s">
        <v>38</v>
      </c>
      <c r="U283" s="97">
        <v>2003</v>
      </c>
      <c r="V283" s="98">
        <v>37751</v>
      </c>
      <c r="W283" s="97" t="s">
        <v>39</v>
      </c>
      <c r="X283" s="97">
        <v>2018</v>
      </c>
      <c r="Y283" s="102"/>
      <c r="Z283" s="102"/>
    </row>
    <row r="284" spans="1:26" s="82" customFormat="1" ht="60" x14ac:dyDescent="0.25">
      <c r="A284" s="82" t="s">
        <v>2145</v>
      </c>
      <c r="B284" s="82" t="s">
        <v>2146</v>
      </c>
      <c r="C284" s="82" t="str">
        <f t="shared" si="9"/>
        <v>NCC-128  - Freedom Lost</v>
      </c>
      <c r="D284" s="96" t="s">
        <v>2147</v>
      </c>
      <c r="E284" s="96" t="s">
        <v>29</v>
      </c>
      <c r="F284" s="97" t="s">
        <v>30</v>
      </c>
      <c r="G284" s="97" t="s">
        <v>293</v>
      </c>
      <c r="H284" s="96"/>
      <c r="I284" s="99" t="s">
        <v>566</v>
      </c>
      <c r="J284" s="95">
        <v>3</v>
      </c>
      <c r="K284" s="95">
        <v>2</v>
      </c>
      <c r="L284" s="100" t="s">
        <v>2148</v>
      </c>
      <c r="M284" s="100" t="s">
        <v>2149</v>
      </c>
      <c r="N284" s="101" t="s">
        <v>2150</v>
      </c>
      <c r="O284" s="82" t="s">
        <v>1205</v>
      </c>
      <c r="P284" s="82">
        <v>19801</v>
      </c>
      <c r="R284" s="82" t="s">
        <v>37</v>
      </c>
      <c r="S284" s="82" t="s">
        <v>2151</v>
      </c>
      <c r="T284" s="82" t="s">
        <v>38</v>
      </c>
      <c r="U284" s="97">
        <v>2004</v>
      </c>
      <c r="V284" s="97">
        <v>2004</v>
      </c>
      <c r="W284" s="97" t="s">
        <v>39</v>
      </c>
      <c r="X284" s="98">
        <v>44679</v>
      </c>
      <c r="Y284" s="102" t="s">
        <v>2152</v>
      </c>
      <c r="Z284" s="102" t="s">
        <v>2153</v>
      </c>
    </row>
    <row r="285" spans="1:26" s="82" customFormat="1" ht="45" x14ac:dyDescent="0.25">
      <c r="A285" s="82" t="s">
        <v>2154</v>
      </c>
      <c r="B285" s="82" t="s">
        <v>2155</v>
      </c>
      <c r="C285" s="82" t="str">
        <f t="shared" si="9"/>
        <v>NCC-129  - Pride of Delaware Lodge #349 IBPEOW</v>
      </c>
      <c r="D285" s="96" t="s">
        <v>1557</v>
      </c>
      <c r="E285" s="96" t="s">
        <v>346</v>
      </c>
      <c r="F285" s="97" t="s">
        <v>30</v>
      </c>
      <c r="G285" s="97"/>
      <c r="H285" s="96"/>
      <c r="I285" s="99" t="s">
        <v>2156</v>
      </c>
      <c r="J285" s="95">
        <v>8</v>
      </c>
      <c r="K285" s="95">
        <v>23</v>
      </c>
      <c r="L285" s="100" t="s">
        <v>2157</v>
      </c>
      <c r="M285" s="100" t="s">
        <v>2158</v>
      </c>
      <c r="N285" s="101" t="s">
        <v>2159</v>
      </c>
      <c r="O285" s="82" t="s">
        <v>1428</v>
      </c>
      <c r="P285" s="82">
        <v>19711</v>
      </c>
      <c r="R285" s="82" t="s">
        <v>37</v>
      </c>
      <c r="S285" s="82" t="s">
        <v>1980</v>
      </c>
      <c r="T285" s="82" t="s">
        <v>435</v>
      </c>
      <c r="U285" s="97">
        <v>2003</v>
      </c>
      <c r="V285" s="97">
        <v>2003</v>
      </c>
      <c r="W285" s="97" t="s">
        <v>593</v>
      </c>
      <c r="X285" s="97"/>
      <c r="Y285" s="102"/>
      <c r="Z285" s="102"/>
    </row>
    <row r="286" spans="1:26" s="82" customFormat="1" ht="60" x14ac:dyDescent="0.25">
      <c r="A286" s="104" t="s">
        <v>2160</v>
      </c>
      <c r="B286" s="104" t="s">
        <v>2161</v>
      </c>
      <c r="C286" s="104" t="str">
        <f t="shared" si="9"/>
        <v>NCC-130  - New Century Club</v>
      </c>
      <c r="D286" s="106" t="s">
        <v>71</v>
      </c>
      <c r="E286" s="106" t="s">
        <v>71</v>
      </c>
      <c r="F286" s="107" t="s">
        <v>30</v>
      </c>
      <c r="G286" s="107" t="s">
        <v>931</v>
      </c>
      <c r="H286" s="106"/>
      <c r="I286" s="108"/>
      <c r="J286" s="105">
        <v>8</v>
      </c>
      <c r="K286" s="105">
        <v>25</v>
      </c>
      <c r="L286" s="143" t="s">
        <v>2162</v>
      </c>
      <c r="M286" s="143" t="s">
        <v>2163</v>
      </c>
      <c r="N286" s="110" t="s">
        <v>2164</v>
      </c>
      <c r="O286" s="104" t="s">
        <v>1428</v>
      </c>
      <c r="P286" s="104">
        <v>19716</v>
      </c>
      <c r="Q286" s="104"/>
      <c r="R286" s="104" t="s">
        <v>37</v>
      </c>
      <c r="S286" s="104" t="s">
        <v>2165</v>
      </c>
      <c r="T286" s="104" t="s">
        <v>435</v>
      </c>
      <c r="U286" s="107">
        <v>2008</v>
      </c>
      <c r="V286" s="107">
        <v>2008</v>
      </c>
      <c r="W286" s="107" t="s">
        <v>593</v>
      </c>
      <c r="X286" s="107"/>
      <c r="Y286" s="111"/>
      <c r="Z286" s="111"/>
    </row>
    <row r="287" spans="1:26" s="104" customFormat="1" ht="45" x14ac:dyDescent="0.25">
      <c r="A287" s="82" t="s">
        <v>2166</v>
      </c>
      <c r="B287" s="82" t="s">
        <v>2167</v>
      </c>
      <c r="C287" s="82" t="str">
        <f t="shared" si="9"/>
        <v>NCC-131  - Port Penn Front Range Light</v>
      </c>
      <c r="D287" s="96" t="s">
        <v>2168</v>
      </c>
      <c r="E287" s="96" t="s">
        <v>29</v>
      </c>
      <c r="F287" s="97" t="s">
        <v>30</v>
      </c>
      <c r="G287" s="97"/>
      <c r="H287" s="96"/>
      <c r="I287" s="99" t="s">
        <v>2169</v>
      </c>
      <c r="J287" s="95">
        <v>12</v>
      </c>
      <c r="K287" s="95">
        <v>9</v>
      </c>
      <c r="L287" s="100" t="s">
        <v>2170</v>
      </c>
      <c r="M287" s="100" t="s">
        <v>2171</v>
      </c>
      <c r="N287" s="101" t="s">
        <v>2172</v>
      </c>
      <c r="O287" s="82" t="s">
        <v>2173</v>
      </c>
      <c r="P287" s="82">
        <v>19709</v>
      </c>
      <c r="Q287" s="82"/>
      <c r="R287" s="82" t="s">
        <v>37</v>
      </c>
      <c r="S287" s="82"/>
      <c r="T287" s="82" t="s">
        <v>38</v>
      </c>
      <c r="U287" s="97">
        <v>2003</v>
      </c>
      <c r="V287" s="97">
        <v>2003</v>
      </c>
      <c r="W287" s="97" t="s">
        <v>39</v>
      </c>
      <c r="X287" s="97"/>
      <c r="Y287" s="131" t="s">
        <v>2174</v>
      </c>
      <c r="Z287" s="102" t="s">
        <v>2175</v>
      </c>
    </row>
    <row r="288" spans="1:26" s="82" customFormat="1" ht="45" x14ac:dyDescent="0.25">
      <c r="A288" s="82" t="s">
        <v>2176</v>
      </c>
      <c r="B288" s="82" t="s">
        <v>2177</v>
      </c>
      <c r="C288" s="82" t="str">
        <f t="shared" si="9"/>
        <v>NCC-132  - Mount Lebanon United Methodist Church</v>
      </c>
      <c r="D288" s="96" t="s">
        <v>2178</v>
      </c>
      <c r="E288" s="96" t="s">
        <v>29</v>
      </c>
      <c r="F288" s="97" t="s">
        <v>30</v>
      </c>
      <c r="G288" s="97"/>
      <c r="H288" s="96" t="s">
        <v>2179</v>
      </c>
      <c r="I288" s="99" t="s">
        <v>2180</v>
      </c>
      <c r="J288" s="95">
        <v>4</v>
      </c>
      <c r="K288" s="95">
        <v>12</v>
      </c>
      <c r="L288" s="100" t="s">
        <v>2181</v>
      </c>
      <c r="M288" s="100" t="s">
        <v>2182</v>
      </c>
      <c r="N288" s="101" t="s">
        <v>2183</v>
      </c>
      <c r="O288" s="82" t="s">
        <v>1205</v>
      </c>
      <c r="P288" s="82">
        <v>19810</v>
      </c>
      <c r="R288" s="82" t="s">
        <v>37</v>
      </c>
      <c r="T288" s="82" t="s">
        <v>435</v>
      </c>
      <c r="U288" s="97">
        <v>2003</v>
      </c>
      <c r="V288" s="97">
        <v>2003</v>
      </c>
      <c r="W288" s="97" t="s">
        <v>593</v>
      </c>
      <c r="X288" s="97"/>
      <c r="Y288" s="189" t="s">
        <v>2184</v>
      </c>
      <c r="Z288" s="114" t="s">
        <v>2185</v>
      </c>
    </row>
    <row r="289" spans="1:26" s="82" customFormat="1" ht="38.25" x14ac:dyDescent="0.25">
      <c r="A289" s="82" t="s">
        <v>2186</v>
      </c>
      <c r="B289" s="82" t="s">
        <v>2187</v>
      </c>
      <c r="C289" s="82" t="str">
        <f t="shared" si="9"/>
        <v>NCC-133  - McDonough Burial Ground</v>
      </c>
      <c r="D289" s="96" t="s">
        <v>2188</v>
      </c>
      <c r="E289" s="96" t="s">
        <v>346</v>
      </c>
      <c r="F289" s="97" t="s">
        <v>30</v>
      </c>
      <c r="G289" s="97"/>
      <c r="H289" s="96"/>
      <c r="I289" s="99" t="s">
        <v>2169</v>
      </c>
      <c r="J289" s="95">
        <v>10</v>
      </c>
      <c r="K289" s="95">
        <v>9</v>
      </c>
      <c r="L289" s="100" t="s">
        <v>2189</v>
      </c>
      <c r="M289" s="100" t="s">
        <v>2190</v>
      </c>
      <c r="N289" s="101" t="s">
        <v>2191</v>
      </c>
      <c r="O289" s="82" t="s">
        <v>1290</v>
      </c>
      <c r="P289" s="82">
        <v>19709</v>
      </c>
      <c r="R289" s="82" t="s">
        <v>37</v>
      </c>
      <c r="S289" s="82" t="s">
        <v>2192</v>
      </c>
      <c r="T289" s="82" t="s">
        <v>435</v>
      </c>
      <c r="U289" s="97">
        <v>2003</v>
      </c>
      <c r="V289" s="97">
        <v>2003</v>
      </c>
      <c r="W289" s="97" t="s">
        <v>593</v>
      </c>
      <c r="X289" s="97"/>
      <c r="Y289" s="210"/>
      <c r="Z289" s="102"/>
    </row>
    <row r="290" spans="1:26" s="82" customFormat="1" ht="45" x14ac:dyDescent="0.25">
      <c r="A290" s="82" t="s">
        <v>2193</v>
      </c>
      <c r="B290" s="82" t="s">
        <v>2194</v>
      </c>
      <c r="C290" s="82" t="str">
        <f t="shared" si="9"/>
        <v>NCC-134  - Site of Bellanca Airfield</v>
      </c>
      <c r="D290" s="96" t="s">
        <v>2195</v>
      </c>
      <c r="E290" s="96" t="s">
        <v>346</v>
      </c>
      <c r="F290" s="97" t="s">
        <v>30</v>
      </c>
      <c r="G290" s="97"/>
      <c r="H290" s="96"/>
      <c r="I290" s="99" t="s">
        <v>2196</v>
      </c>
      <c r="J290" s="95">
        <v>12</v>
      </c>
      <c r="K290" s="95">
        <v>16</v>
      </c>
      <c r="L290" s="100" t="s">
        <v>2197</v>
      </c>
      <c r="M290" s="100" t="s">
        <v>2198</v>
      </c>
      <c r="N290" s="101" t="s">
        <v>2199</v>
      </c>
      <c r="O290" s="82" t="s">
        <v>1268</v>
      </c>
      <c r="P290" s="82">
        <v>19720</v>
      </c>
      <c r="R290" s="82" t="s">
        <v>37</v>
      </c>
      <c r="T290" s="82" t="s">
        <v>38</v>
      </c>
      <c r="U290" s="97">
        <v>2003</v>
      </c>
      <c r="V290" s="97">
        <v>2003</v>
      </c>
      <c r="W290" s="97"/>
      <c r="X290" s="97"/>
      <c r="Y290" s="102" t="s">
        <v>2200</v>
      </c>
      <c r="Z290" s="102" t="s">
        <v>2201</v>
      </c>
    </row>
    <row r="291" spans="1:26" s="82" customFormat="1" ht="45" x14ac:dyDescent="0.25">
      <c r="A291" s="82" t="s">
        <v>2202</v>
      </c>
      <c r="B291" s="82" t="s">
        <v>2203</v>
      </c>
      <c r="C291" s="82" t="str">
        <f t="shared" si="9"/>
        <v>NCC-135  - Locust Grove Home of Governor Joshua Clayton</v>
      </c>
      <c r="D291" s="96" t="s">
        <v>1507</v>
      </c>
      <c r="E291" s="96" t="s">
        <v>29</v>
      </c>
      <c r="F291" s="97" t="s">
        <v>30</v>
      </c>
      <c r="G291" s="97"/>
      <c r="H291" s="96" t="s">
        <v>2204</v>
      </c>
      <c r="I291" s="99" t="s">
        <v>2205</v>
      </c>
      <c r="J291" s="95">
        <v>10</v>
      </c>
      <c r="K291" s="95">
        <v>27</v>
      </c>
      <c r="L291" s="100" t="s">
        <v>2206</v>
      </c>
      <c r="M291" s="100" t="s">
        <v>2207</v>
      </c>
      <c r="N291" s="101" t="s">
        <v>2208</v>
      </c>
      <c r="O291" s="82" t="s">
        <v>1290</v>
      </c>
      <c r="P291" s="82">
        <v>19709</v>
      </c>
      <c r="R291" s="82" t="s">
        <v>37</v>
      </c>
      <c r="T291" s="82" t="s">
        <v>435</v>
      </c>
      <c r="U291" s="97">
        <v>2003</v>
      </c>
      <c r="V291" s="97">
        <v>2003</v>
      </c>
      <c r="W291" s="97" t="s">
        <v>593</v>
      </c>
      <c r="X291" s="97"/>
      <c r="Y291" s="102" t="s">
        <v>2209</v>
      </c>
      <c r="Z291" s="102" t="s">
        <v>2210</v>
      </c>
    </row>
    <row r="292" spans="1:26" s="82" customFormat="1" ht="38.25" x14ac:dyDescent="0.25">
      <c r="A292" s="82" t="s">
        <v>2211</v>
      </c>
      <c r="B292" s="82" t="s">
        <v>2212</v>
      </c>
      <c r="C292" s="82" t="str">
        <f t="shared" si="9"/>
        <v>NCC-136  - Newark United Methodist Church</v>
      </c>
      <c r="D292" s="96" t="s">
        <v>2213</v>
      </c>
      <c r="E292" s="96" t="s">
        <v>130</v>
      </c>
      <c r="F292" s="97" t="s">
        <v>30</v>
      </c>
      <c r="G292" s="97"/>
      <c r="H292" s="96"/>
      <c r="I292" s="99"/>
      <c r="J292" s="95">
        <v>8</v>
      </c>
      <c r="K292" s="95">
        <v>25</v>
      </c>
      <c r="L292" s="100" t="s">
        <v>2214</v>
      </c>
      <c r="M292" s="100" t="s">
        <v>2215</v>
      </c>
      <c r="N292" s="101" t="s">
        <v>2216</v>
      </c>
      <c r="O292" s="82" t="s">
        <v>1428</v>
      </c>
      <c r="P292" s="82">
        <v>19711</v>
      </c>
      <c r="R292" s="82" t="s">
        <v>37</v>
      </c>
      <c r="S292" s="82" t="s">
        <v>1980</v>
      </c>
      <c r="T292" s="82" t="s">
        <v>435</v>
      </c>
      <c r="U292" s="97">
        <v>2004</v>
      </c>
      <c r="V292" s="97">
        <v>2004</v>
      </c>
      <c r="W292" s="97" t="s">
        <v>593</v>
      </c>
      <c r="X292" s="97"/>
      <c r="Y292" s="102"/>
      <c r="Z292" s="102"/>
    </row>
    <row r="293" spans="1:26" s="82" customFormat="1" ht="45" x14ac:dyDescent="0.25">
      <c r="A293" s="82" t="s">
        <v>2217</v>
      </c>
      <c r="B293" s="82" t="s">
        <v>2218</v>
      </c>
      <c r="C293" s="82" t="str">
        <f t="shared" si="9"/>
        <v>NCC-137  - Hockessin School #107C</v>
      </c>
      <c r="D293" s="96" t="s">
        <v>2219</v>
      </c>
      <c r="E293" s="96" t="s">
        <v>29</v>
      </c>
      <c r="F293" s="97" t="s">
        <v>30</v>
      </c>
      <c r="G293" s="97" t="s">
        <v>293</v>
      </c>
      <c r="H293" s="96" t="s">
        <v>565</v>
      </c>
      <c r="I293" s="99" t="s">
        <v>2220</v>
      </c>
      <c r="J293" s="95">
        <v>4</v>
      </c>
      <c r="K293" s="95">
        <v>22</v>
      </c>
      <c r="L293" s="100" t="s">
        <v>2221</v>
      </c>
      <c r="M293" s="100" t="s">
        <v>2222</v>
      </c>
      <c r="N293" s="101" t="s">
        <v>2223</v>
      </c>
      <c r="O293" s="82" t="s">
        <v>1399</v>
      </c>
      <c r="P293" s="82">
        <v>19707</v>
      </c>
      <c r="R293" s="82" t="s">
        <v>37</v>
      </c>
      <c r="S293" s="82" t="s">
        <v>1980</v>
      </c>
      <c r="T293" s="82" t="s">
        <v>435</v>
      </c>
      <c r="U293" s="97">
        <v>2004</v>
      </c>
      <c r="V293" s="97">
        <v>2004</v>
      </c>
      <c r="W293" s="97" t="s">
        <v>593</v>
      </c>
      <c r="X293" s="97"/>
      <c r="Y293" s="102" t="s">
        <v>2224</v>
      </c>
      <c r="Z293" s="102" t="s">
        <v>2225</v>
      </c>
    </row>
    <row r="294" spans="1:26" s="82" customFormat="1" ht="45" x14ac:dyDescent="0.25">
      <c r="A294" s="82" t="s">
        <v>2226</v>
      </c>
      <c r="B294" s="82" t="s">
        <v>2227</v>
      </c>
      <c r="C294" s="82" t="str">
        <f t="shared" si="9"/>
        <v>NCC-138  - Brown v. Board of Education</v>
      </c>
      <c r="D294" s="96" t="s">
        <v>2228</v>
      </c>
      <c r="E294" s="96" t="s">
        <v>29</v>
      </c>
      <c r="F294" s="97" t="s">
        <v>42</v>
      </c>
      <c r="G294" s="97" t="s">
        <v>293</v>
      </c>
      <c r="H294" s="96" t="s">
        <v>977</v>
      </c>
      <c r="I294" s="99" t="s">
        <v>2229</v>
      </c>
      <c r="J294" s="95">
        <v>3</v>
      </c>
      <c r="K294" s="95">
        <v>2</v>
      </c>
      <c r="L294" s="113" t="s">
        <v>2230</v>
      </c>
      <c r="M294" s="113" t="s">
        <v>2231</v>
      </c>
      <c r="N294" s="101" t="s">
        <v>2232</v>
      </c>
      <c r="O294" s="101" t="s">
        <v>1205</v>
      </c>
      <c r="P294" s="82">
        <v>19801</v>
      </c>
      <c r="R294" s="82" t="s">
        <v>37</v>
      </c>
      <c r="T294" s="82" t="s">
        <v>435</v>
      </c>
      <c r="U294" s="97">
        <v>2004</v>
      </c>
      <c r="V294" s="97">
        <v>2004</v>
      </c>
      <c r="W294" s="97" t="s">
        <v>593</v>
      </c>
      <c r="X294" s="97"/>
      <c r="Y294" s="102" t="s">
        <v>2233</v>
      </c>
      <c r="Z294" s="102" t="s">
        <v>2234</v>
      </c>
    </row>
    <row r="295" spans="1:26" s="82" customFormat="1" ht="38.25" x14ac:dyDescent="0.25">
      <c r="A295" s="82" t="s">
        <v>2235</v>
      </c>
      <c r="B295" s="82" t="s">
        <v>2236</v>
      </c>
      <c r="C295" s="82" t="str">
        <f t="shared" si="9"/>
        <v>NCC-139  - Oriental Lodge #12, I.O.O.F</v>
      </c>
      <c r="D295" s="84" t="s">
        <v>2213</v>
      </c>
      <c r="E295" s="84" t="s">
        <v>29</v>
      </c>
      <c r="F295" s="85" t="s">
        <v>30</v>
      </c>
      <c r="G295" s="85"/>
      <c r="H295" s="84" t="s">
        <v>2237</v>
      </c>
      <c r="I295" s="86" t="s">
        <v>2238</v>
      </c>
      <c r="J295" s="83">
        <v>8</v>
      </c>
      <c r="K295" s="83">
        <v>25</v>
      </c>
      <c r="L295" s="87" t="s">
        <v>2239</v>
      </c>
      <c r="M295" s="87" t="s">
        <v>2240</v>
      </c>
      <c r="N295" s="88" t="s">
        <v>2241</v>
      </c>
      <c r="O295" s="81" t="s">
        <v>1428</v>
      </c>
      <c r="P295" s="81">
        <v>19716</v>
      </c>
      <c r="Q295" s="81"/>
      <c r="R295" s="81" t="s">
        <v>37</v>
      </c>
      <c r="S295" s="81" t="s">
        <v>1980</v>
      </c>
      <c r="T295" s="81" t="s">
        <v>435</v>
      </c>
      <c r="U295" s="85">
        <v>2004</v>
      </c>
      <c r="V295" s="85">
        <v>2004</v>
      </c>
      <c r="W295" s="85" t="s">
        <v>593</v>
      </c>
      <c r="X295" s="85"/>
      <c r="Y295" s="131" t="s">
        <v>2242</v>
      </c>
      <c r="Z295" s="89" t="s">
        <v>2243</v>
      </c>
    </row>
    <row r="296" spans="1:26" s="81" customFormat="1" ht="45" x14ac:dyDescent="0.25">
      <c r="A296" s="82" t="s">
        <v>2244</v>
      </c>
      <c r="B296" s="82" t="s">
        <v>2245</v>
      </c>
      <c r="C296" s="82" t="str">
        <f t="shared" si="9"/>
        <v>NCC-140  - Chippey African Union Methodist Church</v>
      </c>
      <c r="D296" s="96" t="s">
        <v>2219</v>
      </c>
      <c r="E296" s="96" t="s">
        <v>29</v>
      </c>
      <c r="F296" s="97" t="s">
        <v>30</v>
      </c>
      <c r="G296" s="97" t="s">
        <v>293</v>
      </c>
      <c r="H296" s="96"/>
      <c r="I296" s="99"/>
      <c r="J296" s="95">
        <v>4</v>
      </c>
      <c r="K296" s="95">
        <v>22</v>
      </c>
      <c r="L296" s="100" t="s">
        <v>2246</v>
      </c>
      <c r="M296" s="100" t="s">
        <v>2247</v>
      </c>
      <c r="N296" s="101" t="s">
        <v>2248</v>
      </c>
      <c r="O296" s="82" t="s">
        <v>1399</v>
      </c>
      <c r="P296" s="82">
        <v>19707</v>
      </c>
      <c r="Q296" s="82"/>
      <c r="R296" s="82" t="s">
        <v>37</v>
      </c>
      <c r="S296" s="82" t="s">
        <v>1980</v>
      </c>
      <c r="T296" s="82" t="s">
        <v>435</v>
      </c>
      <c r="U296" s="97">
        <v>2004</v>
      </c>
      <c r="V296" s="97">
        <v>2004</v>
      </c>
      <c r="W296" s="97" t="s">
        <v>593</v>
      </c>
      <c r="X296" s="97"/>
      <c r="Y296" s="131" t="s">
        <v>2249</v>
      </c>
      <c r="Z296" s="102" t="s">
        <v>2250</v>
      </c>
    </row>
    <row r="297" spans="1:26" s="82" customFormat="1" ht="51" x14ac:dyDescent="0.25">
      <c r="A297" s="82" t="s">
        <v>2251</v>
      </c>
      <c r="B297" s="82" t="s">
        <v>2252</v>
      </c>
      <c r="C297" s="82" t="str">
        <f t="shared" si="9"/>
        <v>NCC-141  - Delaware's Jewish Community</v>
      </c>
      <c r="D297" s="96" t="s">
        <v>2253</v>
      </c>
      <c r="E297" s="96" t="s">
        <v>29</v>
      </c>
      <c r="F297" s="97" t="s">
        <v>42</v>
      </c>
      <c r="G297" s="97"/>
      <c r="H297" s="96" t="s">
        <v>309</v>
      </c>
      <c r="I297" s="99" t="s">
        <v>2254</v>
      </c>
      <c r="J297" s="95">
        <v>3</v>
      </c>
      <c r="K297" s="95">
        <v>2</v>
      </c>
      <c r="L297" s="100" t="s">
        <v>2255</v>
      </c>
      <c r="M297" s="100" t="s">
        <v>2256</v>
      </c>
      <c r="N297" s="101" t="s">
        <v>2257</v>
      </c>
      <c r="O297" s="82" t="s">
        <v>1205</v>
      </c>
      <c r="P297" s="82">
        <v>19801</v>
      </c>
      <c r="R297" s="82" t="s">
        <v>37</v>
      </c>
      <c r="S297" s="82" t="s">
        <v>1980</v>
      </c>
      <c r="T297" s="82" t="s">
        <v>435</v>
      </c>
      <c r="U297" s="97">
        <v>2004</v>
      </c>
      <c r="V297" s="97">
        <v>2004</v>
      </c>
      <c r="W297" s="97" t="s">
        <v>593</v>
      </c>
      <c r="X297" s="97"/>
      <c r="Y297" s="165" t="s">
        <v>2258</v>
      </c>
      <c r="Z297" s="102" t="s">
        <v>2259</v>
      </c>
    </row>
    <row r="298" spans="1:26" s="82" customFormat="1" ht="30" x14ac:dyDescent="0.25">
      <c r="A298" s="82" t="s">
        <v>2260</v>
      </c>
      <c r="B298" s="82" t="s">
        <v>2261</v>
      </c>
      <c r="C298" s="82" t="str">
        <f t="shared" si="9"/>
        <v>NCC-142  - Aiken's Tavern Historic District</v>
      </c>
      <c r="D298" s="115" t="s">
        <v>2262</v>
      </c>
      <c r="E298" s="96" t="s">
        <v>346</v>
      </c>
      <c r="F298" s="97" t="s">
        <v>30</v>
      </c>
      <c r="G298" s="97"/>
      <c r="H298" s="96"/>
      <c r="I298" s="99" t="s">
        <v>2263</v>
      </c>
      <c r="J298" s="95">
        <v>11</v>
      </c>
      <c r="K298" s="95">
        <v>27</v>
      </c>
      <c r="L298" s="100" t="s">
        <v>2264</v>
      </c>
      <c r="M298" s="100" t="s">
        <v>2265</v>
      </c>
      <c r="N298" s="101" t="s">
        <v>1487</v>
      </c>
      <c r="O298" s="82" t="s">
        <v>1428</v>
      </c>
      <c r="P298" s="82">
        <v>19702</v>
      </c>
      <c r="R298" s="82" t="s">
        <v>37</v>
      </c>
      <c r="T298" s="82" t="s">
        <v>435</v>
      </c>
      <c r="U298" s="97">
        <v>2004</v>
      </c>
      <c r="V298" s="97">
        <v>2004</v>
      </c>
      <c r="W298" s="97" t="s">
        <v>593</v>
      </c>
      <c r="X298" s="97"/>
      <c r="Y298" s="102"/>
      <c r="Z298" s="102"/>
    </row>
    <row r="299" spans="1:26" s="82" customFormat="1" ht="45" x14ac:dyDescent="0.25">
      <c r="A299" s="82" t="s">
        <v>2266</v>
      </c>
      <c r="B299" s="82" t="s">
        <v>2267</v>
      </c>
      <c r="C299" s="82" t="str">
        <f t="shared" si="9"/>
        <v>NCC-143  - Ezion-Mount Carmel United Methodist Church</v>
      </c>
      <c r="D299" s="96" t="s">
        <v>2268</v>
      </c>
      <c r="E299" s="96" t="s">
        <v>29</v>
      </c>
      <c r="F299" s="97" t="s">
        <v>30</v>
      </c>
      <c r="G299" s="97" t="s">
        <v>293</v>
      </c>
      <c r="H299" s="96"/>
      <c r="I299" s="99" t="s">
        <v>566</v>
      </c>
      <c r="J299" s="95">
        <v>3</v>
      </c>
      <c r="K299" s="95">
        <v>2</v>
      </c>
      <c r="L299" s="100" t="s">
        <v>2269</v>
      </c>
      <c r="M299" s="100" t="s">
        <v>2270</v>
      </c>
      <c r="N299" s="101" t="s">
        <v>2271</v>
      </c>
      <c r="O299" s="82" t="s">
        <v>1205</v>
      </c>
      <c r="P299" s="82">
        <v>19801</v>
      </c>
      <c r="R299" s="82" t="s">
        <v>37</v>
      </c>
      <c r="S299" s="82" t="s">
        <v>1980</v>
      </c>
      <c r="T299" s="82" t="s">
        <v>435</v>
      </c>
      <c r="U299" s="97">
        <v>2004</v>
      </c>
      <c r="V299" s="97">
        <v>2004</v>
      </c>
      <c r="W299" s="97" t="s">
        <v>593</v>
      </c>
      <c r="X299" s="97"/>
      <c r="Y299" s="102"/>
      <c r="Z299" s="102"/>
    </row>
    <row r="300" spans="1:26" s="82" customFormat="1" ht="45" x14ac:dyDescent="0.25">
      <c r="A300" s="82" t="s">
        <v>2272</v>
      </c>
      <c r="B300" s="82" t="s">
        <v>2273</v>
      </c>
      <c r="C300" s="82" t="str">
        <f t="shared" si="9"/>
        <v>NCC-144  - Middletown Academy</v>
      </c>
      <c r="D300" s="96" t="s">
        <v>2274</v>
      </c>
      <c r="E300" s="96" t="s">
        <v>29</v>
      </c>
      <c r="F300" s="97" t="s">
        <v>276</v>
      </c>
      <c r="G300" s="97"/>
      <c r="H300" s="96" t="s">
        <v>192</v>
      </c>
      <c r="I300" s="99" t="s">
        <v>2275</v>
      </c>
      <c r="J300" s="95">
        <v>10</v>
      </c>
      <c r="K300" s="95">
        <v>8</v>
      </c>
      <c r="L300" s="100" t="s">
        <v>2276</v>
      </c>
      <c r="M300" s="100" t="s">
        <v>2277</v>
      </c>
      <c r="N300" s="101" t="s">
        <v>2278</v>
      </c>
      <c r="O300" s="82" t="s">
        <v>1290</v>
      </c>
      <c r="P300" s="82">
        <v>19709</v>
      </c>
      <c r="R300" s="82" t="s">
        <v>37</v>
      </c>
      <c r="T300" s="82" t="s">
        <v>38</v>
      </c>
      <c r="U300" s="97">
        <v>2005</v>
      </c>
      <c r="V300" s="97">
        <v>2005</v>
      </c>
      <c r="W300" s="97" t="s">
        <v>1292</v>
      </c>
      <c r="X300" s="97"/>
      <c r="Y300" s="102" t="s">
        <v>2279</v>
      </c>
      <c r="Z300" s="102" t="s">
        <v>2280</v>
      </c>
    </row>
    <row r="301" spans="1:26" s="82" customFormat="1" ht="75" x14ac:dyDescent="0.25">
      <c r="A301" s="82" t="s">
        <v>2281</v>
      </c>
      <c r="B301" s="82" t="s">
        <v>2282</v>
      </c>
      <c r="C301" s="82" t="str">
        <f t="shared" si="9"/>
        <v>NCC-144A  - Sgt. William Lloyd Nelson</v>
      </c>
      <c r="D301" s="96" t="s">
        <v>2283</v>
      </c>
      <c r="E301" s="96" t="s">
        <v>130</v>
      </c>
      <c r="F301" s="97" t="s">
        <v>30</v>
      </c>
      <c r="G301" s="97"/>
      <c r="H301" s="96"/>
      <c r="I301" s="99" t="s">
        <v>2275</v>
      </c>
      <c r="J301" s="95">
        <v>10</v>
      </c>
      <c r="K301" s="95">
        <v>8</v>
      </c>
      <c r="L301" s="100" t="s">
        <v>2284</v>
      </c>
      <c r="M301" s="100" t="s">
        <v>2285</v>
      </c>
      <c r="N301" s="101" t="s">
        <v>2286</v>
      </c>
      <c r="O301" s="82" t="s">
        <v>1515</v>
      </c>
      <c r="P301" s="82">
        <v>19734</v>
      </c>
      <c r="R301" s="82" t="s">
        <v>37</v>
      </c>
      <c r="S301" s="82" t="s">
        <v>2287</v>
      </c>
      <c r="T301" s="82" t="s">
        <v>435</v>
      </c>
      <c r="U301" s="97">
        <v>2005</v>
      </c>
      <c r="V301" s="97">
        <v>2005</v>
      </c>
      <c r="W301" s="97" t="s">
        <v>593</v>
      </c>
      <c r="X301" s="97"/>
      <c r="Y301" s="102"/>
      <c r="Z301" s="102"/>
    </row>
    <row r="302" spans="1:26" s="82" customFormat="1" ht="45" x14ac:dyDescent="0.25">
      <c r="A302" s="82" t="s">
        <v>2288</v>
      </c>
      <c r="B302" s="82" t="s">
        <v>675</v>
      </c>
      <c r="C302" s="82" t="str">
        <f t="shared" si="9"/>
        <v>NCC-145  - Booker T. Washington School</v>
      </c>
      <c r="D302" s="96" t="s">
        <v>1691</v>
      </c>
      <c r="E302" s="96" t="s">
        <v>29</v>
      </c>
      <c r="F302" s="97" t="s">
        <v>276</v>
      </c>
      <c r="G302" s="97" t="s">
        <v>293</v>
      </c>
      <c r="H302" s="96" t="s">
        <v>473</v>
      </c>
      <c r="I302" s="99" t="s">
        <v>2289</v>
      </c>
      <c r="J302" s="95">
        <v>12</v>
      </c>
      <c r="K302" s="95">
        <v>17</v>
      </c>
      <c r="L302" s="100" t="s">
        <v>2290</v>
      </c>
      <c r="M302" s="100" t="s">
        <v>2291</v>
      </c>
      <c r="N302" s="101" t="s">
        <v>2292</v>
      </c>
      <c r="O302" s="82" t="s">
        <v>1268</v>
      </c>
      <c r="P302" s="82">
        <v>19720</v>
      </c>
      <c r="R302" s="82" t="s">
        <v>37</v>
      </c>
      <c r="T302" s="82" t="s">
        <v>1269</v>
      </c>
      <c r="U302" s="97">
        <v>2005</v>
      </c>
      <c r="V302" s="97">
        <v>2005</v>
      </c>
      <c r="W302" s="97" t="s">
        <v>1292</v>
      </c>
      <c r="X302" s="97"/>
      <c r="Y302" s="102" t="s">
        <v>2293</v>
      </c>
      <c r="Z302" s="102" t="s">
        <v>2294</v>
      </c>
    </row>
    <row r="303" spans="1:26" s="82" customFormat="1" ht="45" x14ac:dyDescent="0.25">
      <c r="A303" s="82" t="s">
        <v>2295</v>
      </c>
      <c r="B303" s="82" t="s">
        <v>2296</v>
      </c>
      <c r="C303" s="82" t="str">
        <f t="shared" si="9"/>
        <v>NCC-146  - Clifford Brown Legendary Jazz Musician</v>
      </c>
      <c r="D303" s="96" t="s">
        <v>1773</v>
      </c>
      <c r="E303" s="96" t="s">
        <v>29</v>
      </c>
      <c r="F303" s="97" t="s">
        <v>62</v>
      </c>
      <c r="G303" s="97" t="s">
        <v>293</v>
      </c>
      <c r="H303" s="96"/>
      <c r="I303" s="99" t="s">
        <v>1774</v>
      </c>
      <c r="J303" s="95">
        <v>2</v>
      </c>
      <c r="K303" s="95">
        <v>2</v>
      </c>
      <c r="L303" s="112">
        <v>39.748080000000002</v>
      </c>
      <c r="M303" s="112">
        <v>-75.540980000000005</v>
      </c>
      <c r="N303" s="101" t="s">
        <v>2297</v>
      </c>
      <c r="O303" s="82" t="s">
        <v>1205</v>
      </c>
      <c r="P303" s="82">
        <v>19802</v>
      </c>
      <c r="R303" s="82" t="s">
        <v>37</v>
      </c>
      <c r="S303" s="82" t="s">
        <v>2298</v>
      </c>
      <c r="T303" s="82" t="s">
        <v>435</v>
      </c>
      <c r="U303" s="97">
        <v>2005</v>
      </c>
      <c r="V303" s="97">
        <v>2005</v>
      </c>
      <c r="W303" s="97" t="s">
        <v>593</v>
      </c>
      <c r="X303" s="97"/>
      <c r="Y303" s="103" t="s">
        <v>2299</v>
      </c>
      <c r="Z303" s="114" t="s">
        <v>2300</v>
      </c>
    </row>
    <row r="304" spans="1:26" s="82" customFormat="1" ht="45" x14ac:dyDescent="0.25">
      <c r="A304" s="82" t="s">
        <v>2301</v>
      </c>
      <c r="B304" s="82" t="s">
        <v>2302</v>
      </c>
      <c r="C304" s="82" t="str">
        <f t="shared" si="9"/>
        <v>NCC-147  - Old St. Paul's Church (Odessa)</v>
      </c>
      <c r="D304" s="96" t="s">
        <v>1845</v>
      </c>
      <c r="E304" s="96" t="s">
        <v>29</v>
      </c>
      <c r="F304" s="97" t="s">
        <v>191</v>
      </c>
      <c r="G304" s="97"/>
      <c r="H304" s="96" t="s">
        <v>2303</v>
      </c>
      <c r="I304" s="99" t="s">
        <v>2169</v>
      </c>
      <c r="J304" s="95">
        <v>10</v>
      </c>
      <c r="K304" s="95">
        <v>9</v>
      </c>
      <c r="L304" s="100" t="s">
        <v>2304</v>
      </c>
      <c r="M304" s="100" t="s">
        <v>2305</v>
      </c>
      <c r="N304" s="101" t="s">
        <v>2306</v>
      </c>
      <c r="O304" s="82" t="s">
        <v>1304</v>
      </c>
      <c r="P304" s="82">
        <v>19730</v>
      </c>
      <c r="R304" s="82" t="s">
        <v>2307</v>
      </c>
      <c r="T304" s="82" t="s">
        <v>435</v>
      </c>
      <c r="U304" s="97">
        <v>2005</v>
      </c>
      <c r="V304" s="97">
        <v>2005</v>
      </c>
      <c r="W304" s="97" t="s">
        <v>593</v>
      </c>
      <c r="X304" s="97"/>
      <c r="Y304" s="102" t="s">
        <v>2308</v>
      </c>
      <c r="Z304" s="102" t="s">
        <v>2309</v>
      </c>
    </row>
    <row r="305" spans="1:26" s="82" customFormat="1" ht="45" x14ac:dyDescent="0.25">
      <c r="A305" s="82" t="s">
        <v>2310</v>
      </c>
      <c r="B305" s="82" t="s">
        <v>2311</v>
      </c>
      <c r="C305" s="82" t="str">
        <f t="shared" si="9"/>
        <v>NCC-148  - Salesianum School</v>
      </c>
      <c r="D305" s="96" t="s">
        <v>2312</v>
      </c>
      <c r="E305" s="96" t="s">
        <v>29</v>
      </c>
      <c r="F305" s="97" t="s">
        <v>276</v>
      </c>
      <c r="G305" s="97"/>
      <c r="H305" s="96" t="s">
        <v>1041</v>
      </c>
      <c r="I305" s="99" t="s">
        <v>2313</v>
      </c>
      <c r="J305" s="95">
        <v>1</v>
      </c>
      <c r="K305" s="95">
        <v>1</v>
      </c>
      <c r="L305" s="100" t="s">
        <v>2314</v>
      </c>
      <c r="M305" s="100" t="s">
        <v>2315</v>
      </c>
      <c r="N305" s="101" t="s">
        <v>2316</v>
      </c>
      <c r="O305" s="82" t="s">
        <v>1205</v>
      </c>
      <c r="P305" s="82">
        <v>19802</v>
      </c>
      <c r="R305" s="82" t="s">
        <v>37</v>
      </c>
      <c r="T305" s="82" t="s">
        <v>1269</v>
      </c>
      <c r="U305" s="97">
        <v>2006</v>
      </c>
      <c r="V305" s="97">
        <v>2006</v>
      </c>
      <c r="W305" s="97" t="s">
        <v>1292</v>
      </c>
      <c r="X305" s="97"/>
      <c r="Y305" s="102" t="s">
        <v>2317</v>
      </c>
      <c r="Z305" s="102" t="s">
        <v>2318</v>
      </c>
    </row>
    <row r="306" spans="1:26" s="82" customFormat="1" ht="45" x14ac:dyDescent="0.25">
      <c r="A306" s="82" t="s">
        <v>2319</v>
      </c>
      <c r="B306" s="82" t="s">
        <v>2320</v>
      </c>
      <c r="C306" s="82" t="str">
        <f t="shared" si="9"/>
        <v>NCC-149  - Knotty Pine Restaurant</v>
      </c>
      <c r="D306" s="96" t="s">
        <v>2321</v>
      </c>
      <c r="E306" s="96" t="s">
        <v>346</v>
      </c>
      <c r="F306" s="97" t="s">
        <v>30</v>
      </c>
      <c r="G306" s="97" t="s">
        <v>293</v>
      </c>
      <c r="H306" s="96" t="s">
        <v>392</v>
      </c>
      <c r="I306" s="99" t="s">
        <v>566</v>
      </c>
      <c r="J306" s="95">
        <v>3</v>
      </c>
      <c r="K306" s="95">
        <v>2</v>
      </c>
      <c r="L306" s="100" t="s">
        <v>2322</v>
      </c>
      <c r="M306" s="100" t="s">
        <v>2323</v>
      </c>
      <c r="N306" s="101" t="s">
        <v>2324</v>
      </c>
      <c r="O306" s="82" t="s">
        <v>1205</v>
      </c>
      <c r="P306" s="82">
        <v>19802</v>
      </c>
      <c r="R306" s="82" t="s">
        <v>37</v>
      </c>
      <c r="T306" s="82" t="s">
        <v>435</v>
      </c>
      <c r="U306" s="97">
        <v>2006</v>
      </c>
      <c r="V306" s="97">
        <v>2006</v>
      </c>
      <c r="W306" s="97" t="s">
        <v>593</v>
      </c>
      <c r="X306" s="97"/>
      <c r="Y306" s="102" t="s">
        <v>2325</v>
      </c>
      <c r="Z306" s="102" t="s">
        <v>2326</v>
      </c>
    </row>
    <row r="307" spans="1:26" s="82" customFormat="1" ht="38.25" x14ac:dyDescent="0.25">
      <c r="A307" s="82" t="s">
        <v>2327</v>
      </c>
      <c r="B307" s="82" t="s">
        <v>2328</v>
      </c>
      <c r="C307" s="82" t="str">
        <f t="shared" si="9"/>
        <v>NCC-150  - Old Town Hall</v>
      </c>
      <c r="D307" s="96" t="s">
        <v>2329</v>
      </c>
      <c r="E307" s="96" t="s">
        <v>29</v>
      </c>
      <c r="F307" s="97" t="s">
        <v>30</v>
      </c>
      <c r="G307" s="97"/>
      <c r="H307" s="96"/>
      <c r="I307" s="99" t="s">
        <v>301</v>
      </c>
      <c r="J307" s="95">
        <v>3</v>
      </c>
      <c r="K307" s="95">
        <v>2</v>
      </c>
      <c r="L307" s="100" t="s">
        <v>2330</v>
      </c>
      <c r="M307" s="100" t="s">
        <v>2331</v>
      </c>
      <c r="N307" s="101" t="s">
        <v>2332</v>
      </c>
      <c r="O307" s="82" t="s">
        <v>1205</v>
      </c>
      <c r="P307" s="82">
        <v>19801</v>
      </c>
      <c r="R307" s="82" t="s">
        <v>37</v>
      </c>
      <c r="S307" s="82" t="s">
        <v>2333</v>
      </c>
      <c r="T307" s="82" t="s">
        <v>435</v>
      </c>
      <c r="U307" s="97">
        <v>2006</v>
      </c>
      <c r="V307" s="97">
        <v>2006</v>
      </c>
      <c r="W307" s="97" t="s">
        <v>593</v>
      </c>
      <c r="X307" s="97"/>
      <c r="Y307" s="102"/>
      <c r="Z307" s="102"/>
    </row>
    <row r="308" spans="1:26" s="82" customFormat="1" ht="45" x14ac:dyDescent="0.25">
      <c r="A308" s="82" t="s">
        <v>2334</v>
      </c>
      <c r="B308" s="82" t="s">
        <v>2335</v>
      </c>
      <c r="C308" s="82" t="str">
        <f t="shared" ref="C308:C335" si="10">A308 &amp; " - " &amp; B308</f>
        <v>NCC-151  - Meeteer House</v>
      </c>
      <c r="D308" s="96" t="s">
        <v>2336</v>
      </c>
      <c r="E308" s="96" t="s">
        <v>130</v>
      </c>
      <c r="F308" s="97" t="s">
        <v>30</v>
      </c>
      <c r="G308" s="97"/>
      <c r="H308" s="96" t="s">
        <v>837</v>
      </c>
      <c r="I308" s="99" t="s">
        <v>2337</v>
      </c>
      <c r="J308" s="95">
        <v>9</v>
      </c>
      <c r="K308" s="95">
        <v>24</v>
      </c>
      <c r="L308" s="100" t="s">
        <v>2338</v>
      </c>
      <c r="M308" s="100" t="s">
        <v>2339</v>
      </c>
      <c r="N308" s="101" t="s">
        <v>2340</v>
      </c>
      <c r="O308" s="82" t="s">
        <v>1428</v>
      </c>
      <c r="P308" s="82">
        <v>19711</v>
      </c>
      <c r="R308" s="82" t="s">
        <v>37</v>
      </c>
      <c r="T308" s="82" t="s">
        <v>1269</v>
      </c>
      <c r="U308" s="97">
        <v>2006</v>
      </c>
      <c r="V308" s="97">
        <v>2006</v>
      </c>
      <c r="W308" s="97" t="s">
        <v>1292</v>
      </c>
      <c r="X308" s="97"/>
      <c r="Y308" s="102" t="s">
        <v>2341</v>
      </c>
      <c r="Z308" s="102" t="s">
        <v>2342</v>
      </c>
    </row>
    <row r="309" spans="1:26" s="82" customFormat="1" ht="30" x14ac:dyDescent="0.25">
      <c r="A309" s="82" t="s">
        <v>2343</v>
      </c>
      <c r="B309" s="82" t="s">
        <v>2344</v>
      </c>
      <c r="C309" s="82" t="str">
        <f t="shared" si="10"/>
        <v>NCC-152  - Shiloh Baptist Church</v>
      </c>
      <c r="D309" s="96" t="s">
        <v>2345</v>
      </c>
      <c r="E309" s="96" t="s">
        <v>130</v>
      </c>
      <c r="F309" s="97" t="s">
        <v>191</v>
      </c>
      <c r="G309" s="97" t="s">
        <v>293</v>
      </c>
      <c r="H309" s="96"/>
      <c r="I309" s="99" t="s">
        <v>2346</v>
      </c>
      <c r="J309" s="95">
        <v>2</v>
      </c>
      <c r="K309" s="95">
        <v>1</v>
      </c>
      <c r="L309" s="100" t="s">
        <v>2347</v>
      </c>
      <c r="M309" s="100" t="s">
        <v>2348</v>
      </c>
      <c r="N309" s="101" t="s">
        <v>2349</v>
      </c>
      <c r="O309" s="82" t="s">
        <v>1205</v>
      </c>
      <c r="P309" s="82">
        <v>19801</v>
      </c>
      <c r="R309" s="82" t="s">
        <v>37</v>
      </c>
      <c r="T309" s="82" t="s">
        <v>435</v>
      </c>
      <c r="U309" s="97">
        <v>2006</v>
      </c>
      <c r="V309" s="97">
        <v>2006</v>
      </c>
      <c r="W309" s="97" t="s">
        <v>593</v>
      </c>
      <c r="X309" s="97"/>
      <c r="Y309" s="102"/>
      <c r="Z309" s="102"/>
    </row>
    <row r="310" spans="1:26" s="82" customFormat="1" ht="51" x14ac:dyDescent="0.25">
      <c r="A310" s="82" t="s">
        <v>2350</v>
      </c>
      <c r="B310" s="82" t="s">
        <v>2351</v>
      </c>
      <c r="C310" s="82" t="str">
        <f t="shared" si="10"/>
        <v>NCC-153  - Old Drawyers Presbyterian Church</v>
      </c>
      <c r="D310" s="96" t="s">
        <v>2352</v>
      </c>
      <c r="E310" s="96" t="s">
        <v>29</v>
      </c>
      <c r="F310" s="97" t="s">
        <v>191</v>
      </c>
      <c r="G310" s="97"/>
      <c r="H310" s="96" t="s">
        <v>684</v>
      </c>
      <c r="I310" s="99" t="s">
        <v>301</v>
      </c>
      <c r="J310" s="95">
        <v>10</v>
      </c>
      <c r="K310" s="95">
        <v>9</v>
      </c>
      <c r="L310" s="100" t="s">
        <v>2353</v>
      </c>
      <c r="M310" s="100" t="s">
        <v>2354</v>
      </c>
      <c r="N310" s="101" t="s">
        <v>2355</v>
      </c>
      <c r="O310" s="82" t="s">
        <v>1290</v>
      </c>
      <c r="P310" s="82">
        <v>19709</v>
      </c>
      <c r="R310" s="82" t="s">
        <v>37</v>
      </c>
      <c r="S310" s="82" t="s">
        <v>2356</v>
      </c>
      <c r="T310" s="82" t="s">
        <v>435</v>
      </c>
      <c r="U310" s="97">
        <v>2006</v>
      </c>
      <c r="V310" s="97">
        <v>2006</v>
      </c>
      <c r="W310" s="97" t="s">
        <v>593</v>
      </c>
      <c r="X310" s="97"/>
      <c r="Y310" s="165" t="s">
        <v>2357</v>
      </c>
      <c r="Z310" s="102" t="s">
        <v>2358</v>
      </c>
    </row>
    <row r="311" spans="1:26" s="82" customFormat="1" ht="45" x14ac:dyDescent="0.25">
      <c r="A311" s="82" t="s">
        <v>2359</v>
      </c>
      <c r="B311" s="82" t="s">
        <v>2360</v>
      </c>
      <c r="C311" s="82" t="str">
        <f t="shared" si="10"/>
        <v>NCC-154  - Site of Old Cathedral Cemetery</v>
      </c>
      <c r="D311" s="96" t="s">
        <v>2361</v>
      </c>
      <c r="E311" s="96" t="s">
        <v>346</v>
      </c>
      <c r="F311" s="97" t="s">
        <v>30</v>
      </c>
      <c r="G311" s="97"/>
      <c r="H311" s="96" t="s">
        <v>323</v>
      </c>
      <c r="I311" s="99" t="s">
        <v>2362</v>
      </c>
      <c r="J311" s="95">
        <v>1</v>
      </c>
      <c r="K311" s="95">
        <v>2</v>
      </c>
      <c r="L311" s="100" t="s">
        <v>2363</v>
      </c>
      <c r="M311" s="100" t="s">
        <v>2364</v>
      </c>
      <c r="N311" s="101" t="s">
        <v>2365</v>
      </c>
      <c r="O311" s="82" t="s">
        <v>1205</v>
      </c>
      <c r="P311" s="82">
        <v>19801</v>
      </c>
      <c r="R311" s="82" t="s">
        <v>37</v>
      </c>
      <c r="T311" s="82" t="s">
        <v>435</v>
      </c>
      <c r="U311" s="97">
        <v>2006</v>
      </c>
      <c r="V311" s="97">
        <v>2006</v>
      </c>
      <c r="W311" s="97" t="s">
        <v>593</v>
      </c>
      <c r="X311" s="97"/>
      <c r="Y311" s="102" t="s">
        <v>2366</v>
      </c>
      <c r="Z311" s="102" t="s">
        <v>2367</v>
      </c>
    </row>
    <row r="312" spans="1:26" s="82" customFormat="1" ht="51" x14ac:dyDescent="0.25">
      <c r="A312" s="82" t="s">
        <v>2368</v>
      </c>
      <c r="B312" s="82" t="s">
        <v>2369</v>
      </c>
      <c r="C312" s="82" t="str">
        <f t="shared" si="10"/>
        <v>NCC-155  - Old Farmers Bank</v>
      </c>
      <c r="D312" s="96" t="s">
        <v>2370</v>
      </c>
      <c r="E312" s="96" t="s">
        <v>346</v>
      </c>
      <c r="F312" s="97" t="s">
        <v>30</v>
      </c>
      <c r="G312" s="97"/>
      <c r="H312" s="96" t="s">
        <v>410</v>
      </c>
      <c r="I312" s="99" t="s">
        <v>2371</v>
      </c>
      <c r="J312" s="95">
        <v>3</v>
      </c>
      <c r="K312" s="95">
        <v>2</v>
      </c>
      <c r="L312" s="100" t="s">
        <v>2372</v>
      </c>
      <c r="M312" s="100" t="s">
        <v>2373</v>
      </c>
      <c r="N312" s="101" t="s">
        <v>2374</v>
      </c>
      <c r="O312" s="82" t="s">
        <v>1205</v>
      </c>
      <c r="P312" s="82">
        <v>19801</v>
      </c>
      <c r="R312" s="82" t="s">
        <v>37</v>
      </c>
      <c r="S312" s="82" t="s">
        <v>1980</v>
      </c>
      <c r="T312" s="82" t="s">
        <v>1092</v>
      </c>
      <c r="U312" s="97">
        <v>2006</v>
      </c>
      <c r="V312" s="97">
        <v>2006</v>
      </c>
      <c r="W312" s="97" t="s">
        <v>593</v>
      </c>
      <c r="X312" s="97"/>
      <c r="Y312" s="102" t="s">
        <v>2375</v>
      </c>
      <c r="Z312" s="102" t="s">
        <v>2376</v>
      </c>
    </row>
    <row r="313" spans="1:26" s="82" customFormat="1" ht="45" x14ac:dyDescent="0.25">
      <c r="A313" s="82" t="s">
        <v>2377</v>
      </c>
      <c r="B313" s="82" t="s">
        <v>2378</v>
      </c>
      <c r="C313" s="82" t="str">
        <f t="shared" si="10"/>
        <v>NCC-156  - Grand Lodge of Delaware A.F. &amp; A.M.</v>
      </c>
      <c r="D313" s="96" t="s">
        <v>2329</v>
      </c>
      <c r="E313" s="96" t="s">
        <v>29</v>
      </c>
      <c r="F313" s="97" t="s">
        <v>30</v>
      </c>
      <c r="G313" s="97"/>
      <c r="H313" s="96" t="s">
        <v>2379</v>
      </c>
      <c r="I313" s="99" t="s">
        <v>2169</v>
      </c>
      <c r="J313" s="95">
        <v>3</v>
      </c>
      <c r="K313" s="95">
        <v>2</v>
      </c>
      <c r="L313" s="100" t="s">
        <v>2380</v>
      </c>
      <c r="M313" s="100" t="s">
        <v>2381</v>
      </c>
      <c r="N313" s="101" t="s">
        <v>2382</v>
      </c>
      <c r="O313" s="82" t="s">
        <v>1205</v>
      </c>
      <c r="P313" s="82">
        <v>19801</v>
      </c>
      <c r="R313" s="82" t="s">
        <v>37</v>
      </c>
      <c r="S313" s="82" t="s">
        <v>1980</v>
      </c>
      <c r="T313" s="82" t="s">
        <v>435</v>
      </c>
      <c r="U313" s="97">
        <v>2006</v>
      </c>
      <c r="V313" s="97">
        <v>2006</v>
      </c>
      <c r="W313" s="97" t="s">
        <v>593</v>
      </c>
      <c r="X313" s="97"/>
      <c r="Y313" s="131" t="s">
        <v>2383</v>
      </c>
      <c r="Z313" s="102" t="s">
        <v>2384</v>
      </c>
    </row>
    <row r="314" spans="1:26" s="82" customFormat="1" ht="45" x14ac:dyDescent="0.25">
      <c r="A314" s="170" t="s">
        <v>2385</v>
      </c>
      <c r="B314" s="170" t="s">
        <v>2386</v>
      </c>
      <c r="C314" s="170" t="str">
        <f t="shared" si="10"/>
        <v>NCC-157  - Washington Lodge No. 1 Grand Lodge of DE, A.F. &amp; A.M.</v>
      </c>
      <c r="D314" s="172" t="s">
        <v>2387</v>
      </c>
      <c r="E314" s="172" t="s">
        <v>66</v>
      </c>
      <c r="F314" s="173" t="s">
        <v>30</v>
      </c>
      <c r="G314" s="173"/>
      <c r="H314" s="172"/>
      <c r="I314" s="174" t="s">
        <v>2169</v>
      </c>
      <c r="J314" s="171">
        <v>3</v>
      </c>
      <c r="K314" s="171">
        <v>2</v>
      </c>
      <c r="L314" s="175" t="s">
        <v>2388</v>
      </c>
      <c r="M314" s="175" t="s">
        <v>2389</v>
      </c>
      <c r="N314" s="176" t="s">
        <v>2390</v>
      </c>
      <c r="O314" s="170" t="s">
        <v>1205</v>
      </c>
      <c r="P314" s="170">
        <v>19801</v>
      </c>
      <c r="Q314" s="170"/>
      <c r="R314" s="170" t="s">
        <v>37</v>
      </c>
      <c r="S314" s="170" t="s">
        <v>2391</v>
      </c>
      <c r="T314" s="170" t="s">
        <v>435</v>
      </c>
      <c r="U314" s="173">
        <v>2006</v>
      </c>
      <c r="V314" s="173">
        <v>2006</v>
      </c>
      <c r="W314" s="173" t="s">
        <v>593</v>
      </c>
      <c r="X314" s="173"/>
      <c r="Y314" s="177"/>
      <c r="Z314" s="177"/>
    </row>
    <row r="315" spans="1:26" s="170" customFormat="1" ht="45" x14ac:dyDescent="0.25">
      <c r="A315" s="82" t="s">
        <v>2392</v>
      </c>
      <c r="B315" s="82" t="s">
        <v>2393</v>
      </c>
      <c r="C315" s="82" t="str">
        <f t="shared" si="10"/>
        <v>NCC-158  - St. John’s Lodge No. 2 Grand Lodge of DE, A.F. &amp; A.M.</v>
      </c>
      <c r="D315" s="96" t="s">
        <v>2394</v>
      </c>
      <c r="E315" s="96" t="s">
        <v>346</v>
      </c>
      <c r="F315" s="97" t="s">
        <v>30</v>
      </c>
      <c r="G315" s="97"/>
      <c r="H315" s="96"/>
      <c r="I315" s="99" t="s">
        <v>2169</v>
      </c>
      <c r="J315" s="95">
        <v>2</v>
      </c>
      <c r="K315" s="95">
        <v>16</v>
      </c>
      <c r="L315" s="100" t="s">
        <v>2395</v>
      </c>
      <c r="M315" s="100" t="s">
        <v>2396</v>
      </c>
      <c r="N315" s="101" t="s">
        <v>2397</v>
      </c>
      <c r="O315" s="82" t="s">
        <v>1268</v>
      </c>
      <c r="P315" s="82">
        <v>19720</v>
      </c>
      <c r="Q315" s="82"/>
      <c r="R315" s="82" t="s">
        <v>37</v>
      </c>
      <c r="S315" s="82" t="s">
        <v>1980</v>
      </c>
      <c r="T315" s="82" t="s">
        <v>435</v>
      </c>
      <c r="U315" s="97">
        <v>2006</v>
      </c>
      <c r="V315" s="97">
        <v>2006</v>
      </c>
      <c r="W315" s="97" t="s">
        <v>593</v>
      </c>
      <c r="X315" s="97"/>
      <c r="Y315" s="102"/>
      <c r="Z315" s="102"/>
    </row>
    <row r="316" spans="1:26" s="82" customFormat="1" ht="45" x14ac:dyDescent="0.25">
      <c r="A316" s="82" t="s">
        <v>2398</v>
      </c>
      <c r="B316" s="82" t="s">
        <v>2399</v>
      </c>
      <c r="C316" s="82" t="str">
        <f t="shared" si="10"/>
        <v>NCC-159  - Hiram Lodge No. 25</v>
      </c>
      <c r="D316" s="96" t="s">
        <v>2102</v>
      </c>
      <c r="E316" s="96" t="s">
        <v>29</v>
      </c>
      <c r="F316" s="97" t="s">
        <v>30</v>
      </c>
      <c r="G316" s="97"/>
      <c r="H316" s="96" t="s">
        <v>165</v>
      </c>
      <c r="I316" s="99" t="s">
        <v>2169</v>
      </c>
      <c r="J316" s="95">
        <v>8</v>
      </c>
      <c r="K316" s="95">
        <v>25</v>
      </c>
      <c r="L316" s="100" t="s">
        <v>2400</v>
      </c>
      <c r="M316" s="100" t="s">
        <v>2401</v>
      </c>
      <c r="N316" s="101" t="s">
        <v>2402</v>
      </c>
      <c r="O316" s="82" t="s">
        <v>1428</v>
      </c>
      <c r="P316" s="82">
        <v>19711</v>
      </c>
      <c r="R316" s="82" t="s">
        <v>37</v>
      </c>
      <c r="T316" s="82" t="s">
        <v>435</v>
      </c>
      <c r="U316" s="97">
        <v>2006</v>
      </c>
      <c r="V316" s="97">
        <v>2006</v>
      </c>
      <c r="W316" s="97" t="s">
        <v>593</v>
      </c>
      <c r="X316" s="97"/>
      <c r="Y316" s="103" t="s">
        <v>2403</v>
      </c>
      <c r="Z316" s="102" t="s">
        <v>2404</v>
      </c>
    </row>
    <row r="317" spans="1:26" s="82" customFormat="1" ht="45" x14ac:dyDescent="0.25">
      <c r="A317" s="82" t="s">
        <v>2405</v>
      </c>
      <c r="B317" s="82" t="s">
        <v>1185</v>
      </c>
      <c r="C317" s="82" t="str">
        <f t="shared" si="10"/>
        <v>NCC-160  - Robinson House</v>
      </c>
      <c r="D317" s="96" t="s">
        <v>2406</v>
      </c>
      <c r="E317" s="96" t="s">
        <v>29</v>
      </c>
      <c r="F317" s="97" t="s">
        <v>30</v>
      </c>
      <c r="G317" s="97"/>
      <c r="H317" s="96" t="s">
        <v>2407</v>
      </c>
      <c r="I317" s="99" t="s">
        <v>301</v>
      </c>
      <c r="J317" s="95">
        <v>5</v>
      </c>
      <c r="K317" s="95">
        <v>7</v>
      </c>
      <c r="L317" s="100" t="s">
        <v>2408</v>
      </c>
      <c r="M317" s="100" t="s">
        <v>2409</v>
      </c>
      <c r="N317" s="101" t="s">
        <v>2410</v>
      </c>
      <c r="O317" s="82" t="s">
        <v>1183</v>
      </c>
      <c r="P317" s="82">
        <v>19703</v>
      </c>
      <c r="R317" s="82" t="s">
        <v>37</v>
      </c>
      <c r="S317" s="82" t="s">
        <v>2411</v>
      </c>
      <c r="T317" s="82" t="s">
        <v>38</v>
      </c>
      <c r="U317" s="97">
        <v>2006</v>
      </c>
      <c r="V317" s="97">
        <v>2006</v>
      </c>
      <c r="W317" s="97" t="s">
        <v>39</v>
      </c>
      <c r="X317" s="97"/>
      <c r="Y317" s="102" t="s">
        <v>2412</v>
      </c>
      <c r="Z317" s="102" t="s">
        <v>2413</v>
      </c>
    </row>
    <row r="318" spans="1:26" s="82" customFormat="1" ht="30" x14ac:dyDescent="0.25">
      <c r="A318" s="82" t="s">
        <v>2414</v>
      </c>
      <c r="B318" s="82" t="s">
        <v>2415</v>
      </c>
      <c r="C318" s="82" t="str">
        <f t="shared" si="10"/>
        <v>NCC-161  - The Delaware Continentals</v>
      </c>
      <c r="D318" s="96" t="s">
        <v>2416</v>
      </c>
      <c r="E318" s="96" t="s">
        <v>29</v>
      </c>
      <c r="F318" s="97" t="s">
        <v>42</v>
      </c>
      <c r="G318" s="97"/>
      <c r="H318" s="96" t="s">
        <v>2417</v>
      </c>
      <c r="I318" s="99"/>
      <c r="J318" s="95">
        <v>7</v>
      </c>
      <c r="K318" s="95">
        <v>19</v>
      </c>
      <c r="L318" s="100" t="s">
        <v>2418</v>
      </c>
      <c r="M318" s="100" t="s">
        <v>2419</v>
      </c>
      <c r="N318" s="101" t="s">
        <v>2420</v>
      </c>
      <c r="O318" s="82" t="s">
        <v>1205</v>
      </c>
      <c r="P318" s="82">
        <v>19804</v>
      </c>
      <c r="R318" s="82" t="s">
        <v>37</v>
      </c>
      <c r="T318" s="82" t="s">
        <v>38</v>
      </c>
      <c r="U318" s="97">
        <v>2007</v>
      </c>
      <c r="V318" s="97">
        <v>2007</v>
      </c>
      <c r="W318" s="97" t="s">
        <v>39</v>
      </c>
      <c r="X318" s="97"/>
      <c r="Y318" s="131" t="s">
        <v>2421</v>
      </c>
      <c r="Z318" s="131" t="s">
        <v>2422</v>
      </c>
    </row>
    <row r="319" spans="1:26" s="82" customFormat="1" ht="42.75" x14ac:dyDescent="0.25">
      <c r="A319" s="82" t="s">
        <v>2423</v>
      </c>
      <c r="B319" s="82" t="s">
        <v>2424</v>
      </c>
      <c r="C319" s="82" t="str">
        <f t="shared" si="10"/>
        <v>NCC-162  - Hickman Row</v>
      </c>
      <c r="D319" s="96" t="s">
        <v>2406</v>
      </c>
      <c r="E319" s="96" t="s">
        <v>29</v>
      </c>
      <c r="F319" s="97" t="s">
        <v>30</v>
      </c>
      <c r="G319" s="97" t="s">
        <v>293</v>
      </c>
      <c r="H319" s="96"/>
      <c r="I319" s="99" t="s">
        <v>2425</v>
      </c>
      <c r="J319" s="95">
        <v>5</v>
      </c>
      <c r="K319" s="95">
        <v>7</v>
      </c>
      <c r="L319" s="100" t="s">
        <v>2426</v>
      </c>
      <c r="M319" s="100" t="s">
        <v>2427</v>
      </c>
      <c r="N319" s="101" t="s">
        <v>2428</v>
      </c>
      <c r="O319" s="82" t="s">
        <v>1183</v>
      </c>
      <c r="P319" s="82">
        <v>19703</v>
      </c>
      <c r="R319" s="82" t="s">
        <v>37</v>
      </c>
      <c r="T319" s="82" t="s">
        <v>435</v>
      </c>
      <c r="U319" s="97">
        <v>2006</v>
      </c>
      <c r="V319" s="97">
        <v>2006</v>
      </c>
      <c r="W319" s="97" t="s">
        <v>593</v>
      </c>
      <c r="X319" s="97"/>
      <c r="Y319" s="102"/>
      <c r="Z319" s="102"/>
    </row>
    <row r="320" spans="1:26" s="82" customFormat="1" ht="45" x14ac:dyDescent="0.25">
      <c r="A320" s="82" t="s">
        <v>2429</v>
      </c>
      <c r="B320" s="82" t="s">
        <v>2430</v>
      </c>
      <c r="C320" s="82" t="str">
        <f t="shared" si="10"/>
        <v>NCC-163  - Mount Salem United Methodist Church</v>
      </c>
      <c r="D320" s="96" t="s">
        <v>1727</v>
      </c>
      <c r="E320" s="96" t="s">
        <v>29</v>
      </c>
      <c r="F320" s="97" t="s">
        <v>191</v>
      </c>
      <c r="G320" s="97"/>
      <c r="H320" s="96" t="s">
        <v>392</v>
      </c>
      <c r="I320" s="99" t="s">
        <v>2431</v>
      </c>
      <c r="J320" s="95">
        <v>1</v>
      </c>
      <c r="K320" s="95">
        <v>12</v>
      </c>
      <c r="L320" s="100" t="s">
        <v>2432</v>
      </c>
      <c r="M320" s="100" t="s">
        <v>2433</v>
      </c>
      <c r="N320" s="101" t="s">
        <v>2434</v>
      </c>
      <c r="O320" s="82" t="s">
        <v>1205</v>
      </c>
      <c r="P320" s="82">
        <v>19806</v>
      </c>
      <c r="R320" s="82" t="s">
        <v>37</v>
      </c>
      <c r="T320" s="82" t="s">
        <v>435</v>
      </c>
      <c r="U320" s="97">
        <v>2006</v>
      </c>
      <c r="V320" s="97">
        <v>2006</v>
      </c>
      <c r="W320" s="97" t="s">
        <v>593</v>
      </c>
      <c r="X320" s="97"/>
      <c r="Y320" s="102" t="s">
        <v>2435</v>
      </c>
      <c r="Z320" s="102" t="s">
        <v>2436</v>
      </c>
    </row>
    <row r="321" spans="1:26" s="240" customFormat="1" ht="45" x14ac:dyDescent="0.25">
      <c r="A321" s="213" t="s">
        <v>2437</v>
      </c>
      <c r="B321" s="213" t="s">
        <v>2438</v>
      </c>
      <c r="C321" s="213" t="str">
        <f t="shared" si="10"/>
        <v>NCC-164  - The Bulah Family &amp; Brown v. Board of Education</v>
      </c>
      <c r="D321" s="215" t="s">
        <v>2439</v>
      </c>
      <c r="E321" s="215" t="s">
        <v>29</v>
      </c>
      <c r="F321" s="217" t="s">
        <v>42</v>
      </c>
      <c r="G321" s="217" t="s">
        <v>293</v>
      </c>
      <c r="H321" s="215"/>
      <c r="I321" s="219" t="s">
        <v>2440</v>
      </c>
      <c r="J321" s="216">
        <v>4</v>
      </c>
      <c r="K321" s="216">
        <v>22</v>
      </c>
      <c r="L321" s="220" t="s">
        <v>2441</v>
      </c>
      <c r="M321" s="220" t="s">
        <v>2442</v>
      </c>
      <c r="N321" s="221" t="s">
        <v>2443</v>
      </c>
      <c r="O321" s="214" t="s">
        <v>1399</v>
      </c>
      <c r="P321" s="214">
        <v>19707</v>
      </c>
      <c r="Q321" s="214" t="s">
        <v>2444</v>
      </c>
      <c r="R321" s="214" t="s">
        <v>37</v>
      </c>
      <c r="S321" s="214" t="s">
        <v>2445</v>
      </c>
      <c r="T321" s="214" t="s">
        <v>38</v>
      </c>
      <c r="U321" s="217">
        <v>2025</v>
      </c>
      <c r="V321" s="224">
        <v>45882</v>
      </c>
      <c r="W321" s="217" t="s">
        <v>39</v>
      </c>
      <c r="X321" s="217"/>
      <c r="Y321" s="223"/>
      <c r="Z321" s="223"/>
    </row>
    <row r="322" spans="1:26" ht="42.75" x14ac:dyDescent="0.25">
      <c r="A322" s="82" t="s">
        <v>2446</v>
      </c>
      <c r="B322" s="82" t="s">
        <v>2447</v>
      </c>
      <c r="C322" s="82" t="str">
        <f t="shared" si="10"/>
        <v>NCC-165  - Rockwood</v>
      </c>
      <c r="D322" s="96" t="s">
        <v>2448</v>
      </c>
      <c r="E322" s="96" t="s">
        <v>29</v>
      </c>
      <c r="F322" s="97" t="s">
        <v>30</v>
      </c>
      <c r="G322" s="97"/>
      <c r="H322" s="96"/>
      <c r="I322" s="99" t="s">
        <v>2449</v>
      </c>
      <c r="J322" s="95">
        <v>1</v>
      </c>
      <c r="K322" s="95">
        <v>6</v>
      </c>
      <c r="L322" s="100" t="s">
        <v>2450</v>
      </c>
      <c r="M322" s="100" t="s">
        <v>2451</v>
      </c>
      <c r="N322" s="101" t="s">
        <v>2452</v>
      </c>
      <c r="O322" s="82" t="s">
        <v>1205</v>
      </c>
      <c r="P322" s="82">
        <v>19809</v>
      </c>
      <c r="Q322" s="82"/>
      <c r="R322" s="82" t="s">
        <v>37</v>
      </c>
      <c r="S322" s="82" t="s">
        <v>2453</v>
      </c>
      <c r="T322" s="82" t="s">
        <v>38</v>
      </c>
      <c r="U322" s="97" t="s">
        <v>768</v>
      </c>
      <c r="V322" s="97">
        <v>2006</v>
      </c>
      <c r="W322" s="97" t="s">
        <v>39</v>
      </c>
      <c r="X322" s="97">
        <v>2024</v>
      </c>
      <c r="Y322" s="102"/>
      <c r="Z322" s="102"/>
    </row>
    <row r="323" spans="1:26" s="82" customFormat="1" ht="45" x14ac:dyDescent="0.25">
      <c r="A323" s="82" t="s">
        <v>2454</v>
      </c>
      <c r="B323" s="82" t="s">
        <v>2455</v>
      </c>
      <c r="C323" s="82" t="str">
        <f t="shared" si="10"/>
        <v>NCC-166  - Site of Gilpin Mills</v>
      </c>
      <c r="D323" s="96" t="s">
        <v>1747</v>
      </c>
      <c r="E323" s="96" t="s">
        <v>29</v>
      </c>
      <c r="F323" s="97" t="s">
        <v>30</v>
      </c>
      <c r="G323" s="97"/>
      <c r="H323" s="96" t="s">
        <v>656</v>
      </c>
      <c r="I323" s="99" t="s">
        <v>2456</v>
      </c>
      <c r="J323" s="95">
        <v>3</v>
      </c>
      <c r="K323" s="95">
        <v>13</v>
      </c>
      <c r="L323" s="100" t="s">
        <v>2457</v>
      </c>
      <c r="M323" s="100" t="s">
        <v>2458</v>
      </c>
      <c r="N323" s="101" t="s">
        <v>2459</v>
      </c>
      <c r="O323" s="82" t="s">
        <v>1205</v>
      </c>
      <c r="P323" s="82">
        <v>19806</v>
      </c>
      <c r="R323" s="82" t="s">
        <v>37</v>
      </c>
      <c r="T323" s="82" t="s">
        <v>38</v>
      </c>
      <c r="U323" s="97">
        <v>2006</v>
      </c>
      <c r="V323" s="97">
        <v>2006</v>
      </c>
      <c r="W323" s="97"/>
      <c r="X323" s="97"/>
      <c r="Y323" s="102" t="s">
        <v>2460</v>
      </c>
      <c r="Z323" s="102" t="s">
        <v>2461</v>
      </c>
    </row>
    <row r="324" spans="1:26" s="82" customFormat="1" ht="38.25" x14ac:dyDescent="0.25">
      <c r="A324" s="82" t="s">
        <v>2462</v>
      </c>
      <c r="B324" s="82" t="s">
        <v>5343</v>
      </c>
      <c r="C324" s="82" t="str">
        <f t="shared" si="10"/>
        <v>NCC-167  - St. John African Methodist Church</v>
      </c>
      <c r="D324" s="96" t="s">
        <v>2463</v>
      </c>
      <c r="E324" s="96" t="s">
        <v>346</v>
      </c>
      <c r="F324" s="97" t="s">
        <v>191</v>
      </c>
      <c r="G324" s="97" t="s">
        <v>293</v>
      </c>
      <c r="H324" s="96"/>
      <c r="I324" s="99" t="s">
        <v>2156</v>
      </c>
      <c r="J324" s="95">
        <v>8</v>
      </c>
      <c r="K324" s="95">
        <v>23</v>
      </c>
      <c r="L324" s="100" t="s">
        <v>2464</v>
      </c>
      <c r="M324" s="100" t="s">
        <v>2465</v>
      </c>
      <c r="N324" s="101" t="s">
        <v>2466</v>
      </c>
      <c r="O324" s="82" t="s">
        <v>1428</v>
      </c>
      <c r="P324" s="82">
        <v>19711</v>
      </c>
      <c r="R324" s="82" t="s">
        <v>37</v>
      </c>
      <c r="S324" s="82" t="s">
        <v>2467</v>
      </c>
      <c r="T324" s="82" t="s">
        <v>435</v>
      </c>
      <c r="U324" s="97">
        <v>2006</v>
      </c>
      <c r="V324" s="97">
        <v>2006</v>
      </c>
      <c r="W324" s="97" t="s">
        <v>593</v>
      </c>
      <c r="X324" s="97"/>
      <c r="Y324" s="102"/>
      <c r="Z324" s="102"/>
    </row>
    <row r="325" spans="1:26" s="178" customFormat="1" ht="45" x14ac:dyDescent="0.25">
      <c r="A325" s="82" t="s">
        <v>2468</v>
      </c>
      <c r="B325" s="82" t="s">
        <v>2469</v>
      </c>
      <c r="C325" s="82" t="str">
        <f t="shared" si="10"/>
        <v>NCC-168  - St. Mary’s Church</v>
      </c>
      <c r="D325" s="96" t="s">
        <v>2470</v>
      </c>
      <c r="E325" s="96" t="s">
        <v>29</v>
      </c>
      <c r="F325" s="97" t="s">
        <v>191</v>
      </c>
      <c r="G325" s="97"/>
      <c r="H325" s="96" t="s">
        <v>1375</v>
      </c>
      <c r="I325" s="99" t="s">
        <v>2471</v>
      </c>
      <c r="J325" s="95">
        <v>3</v>
      </c>
      <c r="K325" s="95">
        <v>2</v>
      </c>
      <c r="L325" s="100" t="s">
        <v>2472</v>
      </c>
      <c r="M325" s="100" t="s">
        <v>2473</v>
      </c>
      <c r="N325" s="101" t="s">
        <v>2474</v>
      </c>
      <c r="O325" s="82" t="s">
        <v>1205</v>
      </c>
      <c r="P325" s="82">
        <v>19801</v>
      </c>
      <c r="Q325" s="82"/>
      <c r="R325" s="82" t="s">
        <v>37</v>
      </c>
      <c r="S325" s="82"/>
      <c r="T325" s="82" t="s">
        <v>38</v>
      </c>
      <c r="U325" s="97">
        <v>2007</v>
      </c>
      <c r="V325" s="97">
        <v>2007</v>
      </c>
      <c r="W325" s="97" t="s">
        <v>39</v>
      </c>
      <c r="X325" s="97"/>
      <c r="Y325" s="102" t="s">
        <v>2475</v>
      </c>
      <c r="Z325" s="102" t="s">
        <v>2476</v>
      </c>
    </row>
    <row r="326" spans="1:26" s="82" customFormat="1" ht="45" x14ac:dyDescent="0.25">
      <c r="A326" s="82" t="s">
        <v>2477</v>
      </c>
      <c r="B326" s="82" t="s">
        <v>2478</v>
      </c>
      <c r="C326" s="82" t="str">
        <f t="shared" si="10"/>
        <v>NCC-169  - Alexis I. duPont Middle School</v>
      </c>
      <c r="D326" s="96" t="s">
        <v>1735</v>
      </c>
      <c r="E326" s="96" t="s">
        <v>29</v>
      </c>
      <c r="F326" s="97" t="s">
        <v>276</v>
      </c>
      <c r="G326" s="97"/>
      <c r="H326" s="96" t="s">
        <v>557</v>
      </c>
      <c r="I326" s="99" t="s">
        <v>2479</v>
      </c>
      <c r="J326" s="95">
        <v>1</v>
      </c>
      <c r="K326" s="95">
        <v>12</v>
      </c>
      <c r="L326" s="100" t="s">
        <v>2480</v>
      </c>
      <c r="M326" s="100" t="s">
        <v>2481</v>
      </c>
      <c r="N326" s="101" t="s">
        <v>2482</v>
      </c>
      <c r="O326" s="82" t="s">
        <v>1741</v>
      </c>
      <c r="P326" s="82">
        <v>19807</v>
      </c>
      <c r="R326" s="82" t="s">
        <v>37</v>
      </c>
      <c r="T326" s="82" t="s">
        <v>38</v>
      </c>
      <c r="U326" s="97">
        <v>2007</v>
      </c>
      <c r="V326" s="97">
        <v>2007</v>
      </c>
      <c r="W326" s="97" t="s">
        <v>39</v>
      </c>
      <c r="X326" s="97"/>
      <c r="Y326" s="102" t="s">
        <v>2483</v>
      </c>
      <c r="Z326" s="102" t="s">
        <v>2484</v>
      </c>
    </row>
    <row r="327" spans="1:26" s="82" customFormat="1" ht="60" x14ac:dyDescent="0.25">
      <c r="A327" s="82" t="s">
        <v>2485</v>
      </c>
      <c r="B327" s="82" t="s">
        <v>2486</v>
      </c>
      <c r="C327" s="82" t="str">
        <f t="shared" si="10"/>
        <v>NCC-170  - Mount Pleasant School</v>
      </c>
      <c r="D327" s="96" t="s">
        <v>2487</v>
      </c>
      <c r="E327" s="96" t="s">
        <v>29</v>
      </c>
      <c r="F327" s="97" t="s">
        <v>276</v>
      </c>
      <c r="G327" s="97"/>
      <c r="H327" s="96" t="s">
        <v>635</v>
      </c>
      <c r="I327" s="99" t="s">
        <v>2488</v>
      </c>
      <c r="J327" s="95">
        <v>1</v>
      </c>
      <c r="K327" s="95">
        <v>6</v>
      </c>
      <c r="L327" s="100" t="s">
        <v>2489</v>
      </c>
      <c r="M327" s="100" t="s">
        <v>2490</v>
      </c>
      <c r="N327" s="101" t="s">
        <v>2491</v>
      </c>
      <c r="O327" s="82" t="s">
        <v>1205</v>
      </c>
      <c r="P327" s="82">
        <v>19809</v>
      </c>
      <c r="Q327" s="82" t="s">
        <v>2492</v>
      </c>
      <c r="R327" s="82" t="s">
        <v>37</v>
      </c>
      <c r="S327" s="82" t="s">
        <v>2493</v>
      </c>
      <c r="T327" s="82" t="s">
        <v>435</v>
      </c>
      <c r="U327" s="97">
        <v>2007</v>
      </c>
      <c r="V327" s="97">
        <v>2007</v>
      </c>
      <c r="W327" s="97" t="s">
        <v>593</v>
      </c>
      <c r="X327" s="97"/>
      <c r="Y327" s="102" t="s">
        <v>2494</v>
      </c>
      <c r="Z327" s="102" t="s">
        <v>2495</v>
      </c>
    </row>
    <row r="328" spans="1:26" s="82" customFormat="1" ht="30" x14ac:dyDescent="0.25">
      <c r="A328" s="82" t="s">
        <v>2496</v>
      </c>
      <c r="B328" s="82" t="s">
        <v>2497</v>
      </c>
      <c r="C328" s="82" t="str">
        <f t="shared" si="10"/>
        <v>NCC-171  - Marshallton</v>
      </c>
      <c r="D328" s="96" t="s">
        <v>2498</v>
      </c>
      <c r="E328" s="96" t="s">
        <v>29</v>
      </c>
      <c r="F328" s="97" t="s">
        <v>205</v>
      </c>
      <c r="G328" s="97"/>
      <c r="H328" s="96"/>
      <c r="I328" s="99" t="s">
        <v>1894</v>
      </c>
      <c r="J328" s="95">
        <v>7</v>
      </c>
      <c r="K328" s="95">
        <v>19</v>
      </c>
      <c r="L328" s="100" t="s">
        <v>2499</v>
      </c>
      <c r="M328" s="100" t="s">
        <v>2500</v>
      </c>
      <c r="N328" s="101" t="s">
        <v>2501</v>
      </c>
      <c r="O328" s="82" t="s">
        <v>2497</v>
      </c>
      <c r="P328" s="82">
        <v>19808</v>
      </c>
      <c r="R328" s="82" t="s">
        <v>37</v>
      </c>
      <c r="S328" s="82" t="s">
        <v>1551</v>
      </c>
      <c r="T328" s="82" t="s">
        <v>38</v>
      </c>
      <c r="U328" s="97">
        <v>2007</v>
      </c>
      <c r="V328" s="97">
        <v>2007</v>
      </c>
      <c r="W328" s="97" t="s">
        <v>39</v>
      </c>
      <c r="X328" s="97">
        <v>2024</v>
      </c>
      <c r="Y328" s="102"/>
      <c r="Z328" s="102"/>
    </row>
    <row r="329" spans="1:26" s="82" customFormat="1" ht="30" x14ac:dyDescent="0.25">
      <c r="A329" s="82" t="s">
        <v>2502</v>
      </c>
      <c r="B329" s="82" t="s">
        <v>2503</v>
      </c>
      <c r="C329" s="82" t="str">
        <f t="shared" si="10"/>
        <v>NCC-172  - Salem United Methodist Church</v>
      </c>
      <c r="D329" s="96" t="s">
        <v>1557</v>
      </c>
      <c r="E329" s="96" t="s">
        <v>29</v>
      </c>
      <c r="F329" s="97" t="s">
        <v>191</v>
      </c>
      <c r="G329" s="97"/>
      <c r="H329" s="96"/>
      <c r="I329" s="99" t="s">
        <v>2263</v>
      </c>
      <c r="J329" s="95">
        <v>11</v>
      </c>
      <c r="K329" s="95">
        <v>26</v>
      </c>
      <c r="L329" s="100" t="s">
        <v>2504</v>
      </c>
      <c r="M329" s="100" t="s">
        <v>2505</v>
      </c>
      <c r="N329" s="101" t="s">
        <v>2506</v>
      </c>
      <c r="O329" s="82" t="s">
        <v>1428</v>
      </c>
      <c r="P329" s="82">
        <v>19702</v>
      </c>
      <c r="R329" s="82" t="s">
        <v>37</v>
      </c>
      <c r="T329" s="82" t="s">
        <v>435</v>
      </c>
      <c r="U329" s="97">
        <v>2007</v>
      </c>
      <c r="V329" s="97">
        <v>2007</v>
      </c>
      <c r="W329" s="97" t="s">
        <v>593</v>
      </c>
      <c r="X329" s="97"/>
      <c r="Y329" s="102"/>
      <c r="Z329" s="102"/>
    </row>
    <row r="330" spans="1:26" s="178" customFormat="1" ht="30" x14ac:dyDescent="0.25">
      <c r="A330" s="82" t="s">
        <v>2507</v>
      </c>
      <c r="B330" s="82" t="s">
        <v>2508</v>
      </c>
      <c r="C330" s="82" t="str">
        <f t="shared" si="10"/>
        <v>NCC-173  - Christiana Presbyterian Church</v>
      </c>
      <c r="D330" s="96" t="s">
        <v>1530</v>
      </c>
      <c r="E330" s="96" t="s">
        <v>29</v>
      </c>
      <c r="F330" s="97" t="s">
        <v>191</v>
      </c>
      <c r="G330" s="97"/>
      <c r="H330" s="96"/>
      <c r="I330" s="99" t="s">
        <v>2337</v>
      </c>
      <c r="J330" s="95">
        <v>9</v>
      </c>
      <c r="K330" s="95">
        <v>18</v>
      </c>
      <c r="L330" s="100" t="s">
        <v>2509</v>
      </c>
      <c r="M330" s="100" t="s">
        <v>2510</v>
      </c>
      <c r="N330" s="101" t="s">
        <v>2511</v>
      </c>
      <c r="O330" s="82" t="s">
        <v>1428</v>
      </c>
      <c r="P330" s="82">
        <v>19702</v>
      </c>
      <c r="Q330" s="82"/>
      <c r="R330" s="82" t="s">
        <v>37</v>
      </c>
      <c r="S330" s="82"/>
      <c r="T330" s="82" t="s">
        <v>435</v>
      </c>
      <c r="U330" s="97">
        <v>2007</v>
      </c>
      <c r="V330" s="97">
        <v>2007</v>
      </c>
      <c r="W330" s="97" t="s">
        <v>593</v>
      </c>
      <c r="X330" s="97"/>
      <c r="Y330" s="102"/>
      <c r="Z330" s="102"/>
    </row>
    <row r="331" spans="1:26" s="82" customFormat="1" ht="45" x14ac:dyDescent="0.25">
      <c r="A331" s="82" t="s">
        <v>2512</v>
      </c>
      <c r="B331" s="82" t="s">
        <v>2513</v>
      </c>
      <c r="C331" s="82" t="str">
        <f t="shared" si="10"/>
        <v>NCC-174  - Buttonwood School</v>
      </c>
      <c r="D331" s="96" t="s">
        <v>2514</v>
      </c>
      <c r="E331" s="96" t="s">
        <v>29</v>
      </c>
      <c r="F331" s="97" t="s">
        <v>276</v>
      </c>
      <c r="G331" s="97" t="s">
        <v>293</v>
      </c>
      <c r="H331" s="96" t="s">
        <v>2515</v>
      </c>
      <c r="I331" s="99" t="s">
        <v>2516</v>
      </c>
      <c r="J331" s="95">
        <v>2</v>
      </c>
      <c r="K331" s="95">
        <v>16</v>
      </c>
      <c r="L331" s="100" t="s">
        <v>2517</v>
      </c>
      <c r="M331" s="100" t="s">
        <v>2518</v>
      </c>
      <c r="N331" s="101" t="s">
        <v>2519</v>
      </c>
      <c r="O331" s="82" t="s">
        <v>1268</v>
      </c>
      <c r="P331" s="82">
        <v>19720</v>
      </c>
      <c r="R331" s="82" t="s">
        <v>37</v>
      </c>
      <c r="S331" s="82" t="s">
        <v>2520</v>
      </c>
      <c r="T331" s="82" t="s">
        <v>38</v>
      </c>
      <c r="U331" s="97">
        <v>2007</v>
      </c>
      <c r="V331" s="97">
        <v>2007</v>
      </c>
      <c r="W331" s="97" t="s">
        <v>39</v>
      </c>
      <c r="X331" s="98">
        <v>44434</v>
      </c>
      <c r="Y331" s="102" t="s">
        <v>2521</v>
      </c>
      <c r="Z331" s="102" t="s">
        <v>2522</v>
      </c>
    </row>
    <row r="332" spans="1:26" s="82" customFormat="1" ht="45" x14ac:dyDescent="0.25">
      <c r="A332" s="82" t="s">
        <v>2523</v>
      </c>
      <c r="B332" s="82" t="s">
        <v>2524</v>
      </c>
      <c r="C332" s="82" t="str">
        <f t="shared" si="10"/>
        <v>NCC-175  - Frank Furness Railroad District</v>
      </c>
      <c r="D332" s="96" t="s">
        <v>2525</v>
      </c>
      <c r="E332" s="96" t="s">
        <v>130</v>
      </c>
      <c r="F332" s="97" t="s">
        <v>30</v>
      </c>
      <c r="G332" s="97"/>
      <c r="H332" s="96" t="s">
        <v>165</v>
      </c>
      <c r="I332" s="99" t="s">
        <v>2526</v>
      </c>
      <c r="J332" s="95">
        <v>3</v>
      </c>
      <c r="K332" s="95">
        <v>2</v>
      </c>
      <c r="L332" s="100" t="s">
        <v>2527</v>
      </c>
      <c r="M332" s="100" t="s">
        <v>2528</v>
      </c>
      <c r="N332" s="82" t="s">
        <v>2529</v>
      </c>
      <c r="O332" s="82" t="s">
        <v>1205</v>
      </c>
      <c r="P332" s="82">
        <v>19801</v>
      </c>
      <c r="R332" s="82" t="s">
        <v>37</v>
      </c>
      <c r="T332" s="82" t="s">
        <v>435</v>
      </c>
      <c r="U332" s="97">
        <v>2007</v>
      </c>
      <c r="V332" s="97">
        <v>2007</v>
      </c>
      <c r="W332" s="97" t="s">
        <v>593</v>
      </c>
      <c r="X332" s="97"/>
      <c r="Y332" s="102" t="s">
        <v>2530</v>
      </c>
      <c r="Z332" s="102" t="s">
        <v>2531</v>
      </c>
    </row>
    <row r="333" spans="1:26" s="82" customFormat="1" ht="45" x14ac:dyDescent="0.25">
      <c r="A333" s="82" t="s">
        <v>2532</v>
      </c>
      <c r="B333" s="82" t="s">
        <v>2533</v>
      </c>
      <c r="C333" s="82" t="str">
        <f t="shared" si="10"/>
        <v>NCC-176  - Archmere</v>
      </c>
      <c r="D333" s="96" t="s">
        <v>1969</v>
      </c>
      <c r="E333" s="96" t="s">
        <v>346</v>
      </c>
      <c r="F333" s="97" t="s">
        <v>276</v>
      </c>
      <c r="G333" s="97"/>
      <c r="H333" s="96"/>
      <c r="I333" s="99" t="s">
        <v>2534</v>
      </c>
      <c r="J333" s="95">
        <v>5</v>
      </c>
      <c r="K333" s="95">
        <v>7</v>
      </c>
      <c r="L333" s="100" t="s">
        <v>2535</v>
      </c>
      <c r="M333" s="100" t="s">
        <v>2536</v>
      </c>
      <c r="N333" s="101" t="s">
        <v>2537</v>
      </c>
      <c r="O333" s="82" t="s">
        <v>1183</v>
      </c>
      <c r="P333" s="82">
        <v>19703</v>
      </c>
      <c r="R333" s="82" t="s">
        <v>37</v>
      </c>
      <c r="T333" s="82" t="s">
        <v>38</v>
      </c>
      <c r="U333" s="97">
        <v>2008</v>
      </c>
      <c r="V333" s="179">
        <v>39744</v>
      </c>
      <c r="W333" s="97" t="s">
        <v>39</v>
      </c>
      <c r="X333" s="97"/>
      <c r="Y333" s="102" t="s">
        <v>2538</v>
      </c>
      <c r="Z333" s="102" t="s">
        <v>2539</v>
      </c>
    </row>
    <row r="334" spans="1:26" s="82" customFormat="1" ht="25.5" x14ac:dyDescent="0.25">
      <c r="A334" s="82" t="s">
        <v>2540</v>
      </c>
      <c r="B334" s="82" t="s">
        <v>2541</v>
      </c>
      <c r="C334" s="82" t="str">
        <f t="shared" si="10"/>
        <v>NCC-177  - The Patio</v>
      </c>
      <c r="D334" s="96" t="s">
        <v>2542</v>
      </c>
      <c r="E334" s="96" t="s">
        <v>29</v>
      </c>
      <c r="F334" s="97" t="s">
        <v>30</v>
      </c>
      <c r="G334" s="97"/>
      <c r="H334" s="96"/>
      <c r="I334" s="99" t="s">
        <v>2534</v>
      </c>
      <c r="J334" s="95">
        <v>5</v>
      </c>
      <c r="K334" s="95">
        <v>7</v>
      </c>
      <c r="L334" s="100" t="s">
        <v>2543</v>
      </c>
      <c r="M334" s="100" t="s">
        <v>2544</v>
      </c>
      <c r="N334" s="101" t="s">
        <v>2537</v>
      </c>
      <c r="O334" s="82" t="s">
        <v>1183</v>
      </c>
      <c r="P334" s="82">
        <v>19703</v>
      </c>
      <c r="R334" s="82" t="s">
        <v>37</v>
      </c>
      <c r="T334" s="82" t="s">
        <v>435</v>
      </c>
      <c r="U334" s="97">
        <v>2008</v>
      </c>
      <c r="V334" s="179">
        <v>39744</v>
      </c>
      <c r="W334" s="97" t="s">
        <v>593</v>
      </c>
      <c r="X334" s="97"/>
      <c r="Y334" s="102"/>
      <c r="Z334" s="102"/>
    </row>
    <row r="335" spans="1:26" s="82" customFormat="1" ht="45" x14ac:dyDescent="0.25">
      <c r="A335" s="82" t="s">
        <v>2545</v>
      </c>
      <c r="B335" s="82" t="s">
        <v>2546</v>
      </c>
      <c r="C335" s="82" t="str">
        <f t="shared" si="10"/>
        <v>NCC-178  - Old Delaware City Public School</v>
      </c>
      <c r="D335" s="96" t="s">
        <v>2168</v>
      </c>
      <c r="E335" s="96" t="s">
        <v>29</v>
      </c>
      <c r="F335" s="97" t="s">
        <v>276</v>
      </c>
      <c r="G335" s="97"/>
      <c r="H335" s="96" t="s">
        <v>277</v>
      </c>
      <c r="I335" s="99" t="s">
        <v>796</v>
      </c>
      <c r="J335" s="95">
        <v>12</v>
      </c>
      <c r="K335" s="95">
        <v>17</v>
      </c>
      <c r="L335" s="100" t="s">
        <v>2547</v>
      </c>
      <c r="M335" s="100" t="s">
        <v>2548</v>
      </c>
      <c r="N335" s="101" t="s">
        <v>2549</v>
      </c>
      <c r="O335" s="82" t="s">
        <v>1911</v>
      </c>
      <c r="P335" s="82">
        <v>19706</v>
      </c>
      <c r="R335" s="82" t="s">
        <v>37</v>
      </c>
      <c r="T335" s="82" t="s">
        <v>38</v>
      </c>
      <c r="U335" s="97">
        <v>2008</v>
      </c>
      <c r="V335" s="97">
        <v>2008</v>
      </c>
      <c r="W335" s="97" t="s">
        <v>39</v>
      </c>
      <c r="X335" s="97"/>
      <c r="Y335" s="103" t="s">
        <v>2550</v>
      </c>
      <c r="Z335" s="102" t="s">
        <v>2551</v>
      </c>
    </row>
    <row r="336" spans="1:26" s="82" customFormat="1" ht="30" x14ac:dyDescent="0.25">
      <c r="A336" s="192" t="s">
        <v>2552</v>
      </c>
      <c r="B336" s="192" t="s">
        <v>5340</v>
      </c>
      <c r="C336" s="192" t="s">
        <v>5341</v>
      </c>
      <c r="D336" s="193"/>
      <c r="E336" s="193" t="s">
        <v>1070</v>
      </c>
      <c r="F336" s="195" t="s">
        <v>191</v>
      </c>
      <c r="G336" s="195" t="s">
        <v>293</v>
      </c>
      <c r="H336" s="193"/>
      <c r="I336" s="196"/>
      <c r="J336" s="194"/>
      <c r="K336" s="194"/>
      <c r="L336" s="197"/>
      <c r="M336" s="197"/>
      <c r="N336" s="198"/>
      <c r="O336" s="192"/>
      <c r="P336" s="192"/>
      <c r="Q336" s="192"/>
      <c r="R336" s="192" t="s">
        <v>37</v>
      </c>
      <c r="S336" s="191"/>
      <c r="T336" s="192"/>
      <c r="U336" s="195"/>
      <c r="V336" s="195"/>
      <c r="W336" s="195"/>
      <c r="X336" s="195"/>
      <c r="Y336" s="199"/>
      <c r="Z336" s="199"/>
    </row>
    <row r="337" spans="1:26" s="192" customFormat="1" ht="24" customHeight="1" x14ac:dyDescent="0.25">
      <c r="A337" s="82" t="s">
        <v>2554</v>
      </c>
      <c r="B337" s="82" t="s">
        <v>2555</v>
      </c>
      <c r="C337" s="82" t="str">
        <f t="shared" ref="C337:C368" si="11">A337 &amp; " - " &amp; B337</f>
        <v>NCC-180  - St. Anthony of Padua</v>
      </c>
      <c r="D337" s="96" t="s">
        <v>2096</v>
      </c>
      <c r="E337" s="96" t="s">
        <v>29</v>
      </c>
      <c r="F337" s="97" t="s">
        <v>276</v>
      </c>
      <c r="G337" s="97"/>
      <c r="H337" s="96" t="s">
        <v>765</v>
      </c>
      <c r="I337" s="99" t="s">
        <v>2556</v>
      </c>
      <c r="J337" s="95">
        <v>1</v>
      </c>
      <c r="K337" s="95">
        <v>3</v>
      </c>
      <c r="L337" s="100" t="s">
        <v>2557</v>
      </c>
      <c r="M337" s="100" t="s">
        <v>2558</v>
      </c>
      <c r="N337" s="101" t="s">
        <v>2559</v>
      </c>
      <c r="O337" s="82" t="s">
        <v>1205</v>
      </c>
      <c r="P337" s="82">
        <v>19805</v>
      </c>
      <c r="Q337" s="82"/>
      <c r="R337" s="82" t="s">
        <v>37</v>
      </c>
      <c r="S337" s="82"/>
      <c r="T337" s="82" t="s">
        <v>435</v>
      </c>
      <c r="U337" s="97">
        <v>2008</v>
      </c>
      <c r="V337" s="121">
        <v>2008</v>
      </c>
      <c r="W337" s="97" t="s">
        <v>593</v>
      </c>
      <c r="X337" s="97"/>
      <c r="Y337" s="102" t="s">
        <v>2560</v>
      </c>
      <c r="Z337" s="102" t="s">
        <v>2561</v>
      </c>
    </row>
    <row r="338" spans="1:26" s="82" customFormat="1" ht="45" x14ac:dyDescent="0.25">
      <c r="A338" s="82" t="s">
        <v>2562</v>
      </c>
      <c r="B338" s="82" t="s">
        <v>2563</v>
      </c>
      <c r="C338" s="82" t="str">
        <f t="shared" si="11"/>
        <v>NCC-181  - Lincoln's Speech</v>
      </c>
      <c r="D338" s="96" t="s">
        <v>1883</v>
      </c>
      <c r="E338" s="96" t="s">
        <v>29</v>
      </c>
      <c r="F338" s="97" t="s">
        <v>30</v>
      </c>
      <c r="G338" s="97"/>
      <c r="H338" s="115" t="s">
        <v>857</v>
      </c>
      <c r="I338" s="99"/>
      <c r="J338" s="95">
        <v>3</v>
      </c>
      <c r="K338" s="95">
        <v>2</v>
      </c>
      <c r="L338" s="100" t="s">
        <v>2564</v>
      </c>
      <c r="M338" s="100" t="s">
        <v>2565</v>
      </c>
      <c r="N338" s="101" t="s">
        <v>2566</v>
      </c>
      <c r="O338" s="82" t="s">
        <v>1205</v>
      </c>
      <c r="P338" s="82">
        <v>19801</v>
      </c>
      <c r="Q338" s="82" t="s">
        <v>2567</v>
      </c>
      <c r="R338" s="82" t="s">
        <v>37</v>
      </c>
      <c r="S338" s="82" t="s">
        <v>2568</v>
      </c>
      <c r="T338" s="82" t="s">
        <v>435</v>
      </c>
      <c r="U338" s="97">
        <v>2008</v>
      </c>
      <c r="V338" s="121">
        <v>2008</v>
      </c>
      <c r="W338" s="97" t="s">
        <v>593</v>
      </c>
      <c r="X338" s="97"/>
      <c r="Y338" s="102" t="s">
        <v>2569</v>
      </c>
      <c r="Z338" s="102" t="s">
        <v>2570</v>
      </c>
    </row>
    <row r="339" spans="1:26" s="82" customFormat="1" ht="45" x14ac:dyDescent="0.25">
      <c r="A339" s="82" t="s">
        <v>2571</v>
      </c>
      <c r="B339" s="82" t="s">
        <v>2572</v>
      </c>
      <c r="C339" s="82" t="str">
        <f t="shared" si="11"/>
        <v>NCC-182  - The Philadelphia Campaign Battle of Cooch's Bridge</v>
      </c>
      <c r="D339" s="96" t="s">
        <v>2573</v>
      </c>
      <c r="E339" s="96" t="s">
        <v>29</v>
      </c>
      <c r="F339" s="97" t="s">
        <v>30</v>
      </c>
      <c r="G339" s="97"/>
      <c r="H339" s="96"/>
      <c r="I339" s="99" t="s">
        <v>2574</v>
      </c>
      <c r="J339" s="95">
        <v>11</v>
      </c>
      <c r="K339" s="95">
        <v>25</v>
      </c>
      <c r="L339" s="100" t="s">
        <v>2575</v>
      </c>
      <c r="M339" s="100" t="s">
        <v>2576</v>
      </c>
      <c r="N339" s="101" t="s">
        <v>1471</v>
      </c>
      <c r="O339" s="82" t="s">
        <v>1428</v>
      </c>
      <c r="P339" s="82">
        <v>19702</v>
      </c>
      <c r="R339" s="82" t="s">
        <v>37</v>
      </c>
      <c r="T339" s="82" t="s">
        <v>38</v>
      </c>
      <c r="U339" s="97">
        <v>2008</v>
      </c>
      <c r="V339" s="121">
        <v>2008</v>
      </c>
      <c r="W339" s="97" t="s">
        <v>39</v>
      </c>
      <c r="X339" s="97">
        <v>2024</v>
      </c>
      <c r="Y339" s="102"/>
      <c r="Z339" s="102"/>
    </row>
    <row r="340" spans="1:26" s="82" customFormat="1" ht="45" x14ac:dyDescent="0.25">
      <c r="A340" s="82" t="s">
        <v>2577</v>
      </c>
      <c r="B340" s="82" t="s">
        <v>2578</v>
      </c>
      <c r="C340" s="82" t="str">
        <f t="shared" si="11"/>
        <v>NCC-183  - New London Avenue School</v>
      </c>
      <c r="D340" s="96" t="s">
        <v>2579</v>
      </c>
      <c r="E340" s="96" t="s">
        <v>29</v>
      </c>
      <c r="F340" s="97" t="s">
        <v>276</v>
      </c>
      <c r="G340" s="97" t="s">
        <v>293</v>
      </c>
      <c r="H340" s="96"/>
      <c r="I340" s="99" t="s">
        <v>2580</v>
      </c>
      <c r="J340" s="95">
        <v>8</v>
      </c>
      <c r="K340" s="95">
        <v>23</v>
      </c>
      <c r="L340" s="100" t="s">
        <v>2581</v>
      </c>
      <c r="M340" s="100" t="s">
        <v>2582</v>
      </c>
      <c r="N340" s="101" t="s">
        <v>2583</v>
      </c>
      <c r="O340" s="82" t="s">
        <v>1428</v>
      </c>
      <c r="P340" s="82">
        <v>19711</v>
      </c>
      <c r="R340" s="82" t="s">
        <v>37</v>
      </c>
      <c r="S340" s="82" t="s">
        <v>1980</v>
      </c>
      <c r="T340" s="82" t="s">
        <v>435</v>
      </c>
      <c r="U340" s="97">
        <v>2008</v>
      </c>
      <c r="V340" s="97">
        <v>2008</v>
      </c>
      <c r="W340" s="97" t="s">
        <v>593</v>
      </c>
      <c r="X340" s="97"/>
      <c r="Y340" s="102" t="s">
        <v>2584</v>
      </c>
      <c r="Z340" s="102" t="s">
        <v>2585</v>
      </c>
    </row>
    <row r="341" spans="1:26" s="82" customFormat="1" ht="45" x14ac:dyDescent="0.25">
      <c r="A341" s="82" t="s">
        <v>2586</v>
      </c>
      <c r="B341" s="82" t="s">
        <v>2587</v>
      </c>
      <c r="C341" s="82" t="str">
        <f t="shared" si="11"/>
        <v>NCC-184  - Old Fort Union African Methodist Episcopal Church</v>
      </c>
      <c r="D341" s="96" t="s">
        <v>2588</v>
      </c>
      <c r="E341" s="96" t="s">
        <v>29</v>
      </c>
      <c r="F341" s="97" t="s">
        <v>191</v>
      </c>
      <c r="G341" s="97" t="s">
        <v>293</v>
      </c>
      <c r="H341" s="96" t="s">
        <v>787</v>
      </c>
      <c r="I341" s="99" t="s">
        <v>2337</v>
      </c>
      <c r="J341" s="95">
        <v>9</v>
      </c>
      <c r="K341" s="95">
        <v>18</v>
      </c>
      <c r="L341" s="100" t="s">
        <v>2589</v>
      </c>
      <c r="M341" s="100" t="s">
        <v>2590</v>
      </c>
      <c r="N341" s="101" t="s">
        <v>2591</v>
      </c>
      <c r="O341" s="82" t="s">
        <v>1428</v>
      </c>
      <c r="P341" s="82">
        <v>19702</v>
      </c>
      <c r="R341" s="82" t="s">
        <v>37</v>
      </c>
      <c r="T341" s="82" t="s">
        <v>435</v>
      </c>
      <c r="U341" s="97">
        <v>2008</v>
      </c>
      <c r="V341" s="97">
        <v>2008</v>
      </c>
      <c r="W341" s="97" t="s">
        <v>593</v>
      </c>
      <c r="X341" s="97"/>
      <c r="Y341" s="102" t="s">
        <v>2592</v>
      </c>
      <c r="Z341" s="102" t="s">
        <v>2593</v>
      </c>
    </row>
    <row r="342" spans="1:26" s="82" customFormat="1" ht="45" x14ac:dyDescent="0.25">
      <c r="A342" s="82" t="s">
        <v>2594</v>
      </c>
      <c r="B342" s="82" t="s">
        <v>2595</v>
      </c>
      <c r="C342" s="82" t="str">
        <f t="shared" si="11"/>
        <v>NCC-185  - Village of Montchanin</v>
      </c>
      <c r="D342" s="96" t="s">
        <v>2596</v>
      </c>
      <c r="E342" s="96" t="s">
        <v>29</v>
      </c>
      <c r="F342" s="97" t="s">
        <v>205</v>
      </c>
      <c r="G342" s="97"/>
      <c r="H342" s="96" t="s">
        <v>589</v>
      </c>
      <c r="I342" s="99" t="s">
        <v>2597</v>
      </c>
      <c r="J342" s="95">
        <v>4</v>
      </c>
      <c r="K342" s="95">
        <v>12</v>
      </c>
      <c r="L342" s="100" t="s">
        <v>2598</v>
      </c>
      <c r="M342" s="100" t="s">
        <v>2599</v>
      </c>
      <c r="N342" s="101" t="s">
        <v>2600</v>
      </c>
      <c r="O342" s="82" t="s">
        <v>2601</v>
      </c>
      <c r="P342" s="82">
        <v>19710</v>
      </c>
      <c r="R342" s="82" t="s">
        <v>37</v>
      </c>
      <c r="T342" s="82" t="s">
        <v>38</v>
      </c>
      <c r="U342" s="97">
        <v>2008</v>
      </c>
      <c r="V342" s="97">
        <v>2008</v>
      </c>
      <c r="W342" s="97" t="s">
        <v>39</v>
      </c>
      <c r="X342" s="97"/>
      <c r="Y342" s="114" t="s">
        <v>2602</v>
      </c>
      <c r="Z342" s="114" t="s">
        <v>2603</v>
      </c>
    </row>
    <row r="343" spans="1:26" s="82" customFormat="1" ht="45" x14ac:dyDescent="0.25">
      <c r="A343" s="82" t="s">
        <v>2604</v>
      </c>
      <c r="B343" s="82" t="s">
        <v>1515</v>
      </c>
      <c r="C343" s="82" t="str">
        <f t="shared" si="11"/>
        <v>NCC-186  - Townsend</v>
      </c>
      <c r="D343" s="96" t="s">
        <v>2605</v>
      </c>
      <c r="E343" s="96" t="s">
        <v>29</v>
      </c>
      <c r="F343" s="97" t="s">
        <v>205</v>
      </c>
      <c r="G343" s="97"/>
      <c r="H343" s="96" t="s">
        <v>232</v>
      </c>
      <c r="I343" s="99"/>
      <c r="J343" s="95">
        <v>14</v>
      </c>
      <c r="K343" s="95">
        <v>11</v>
      </c>
      <c r="L343" s="100" t="s">
        <v>2606</v>
      </c>
      <c r="M343" s="100" t="s">
        <v>2607</v>
      </c>
      <c r="N343" s="101" t="s">
        <v>2608</v>
      </c>
      <c r="O343" s="82" t="s">
        <v>1515</v>
      </c>
      <c r="P343" s="82">
        <v>19734</v>
      </c>
      <c r="R343" s="82" t="s">
        <v>37</v>
      </c>
      <c r="T343" s="82" t="s">
        <v>38</v>
      </c>
      <c r="U343" s="97">
        <v>2008</v>
      </c>
      <c r="V343" s="97">
        <v>2008</v>
      </c>
      <c r="W343" s="121" t="s">
        <v>593</v>
      </c>
      <c r="X343" s="97"/>
      <c r="Y343" s="131" t="s">
        <v>2609</v>
      </c>
      <c r="Z343" s="102" t="s">
        <v>2610</v>
      </c>
    </row>
    <row r="344" spans="1:26" s="82" customFormat="1" ht="30" x14ac:dyDescent="0.25">
      <c r="A344" s="7" t="s">
        <v>2611</v>
      </c>
      <c r="B344" s="7" t="s">
        <v>2612</v>
      </c>
      <c r="C344" s="7" t="str">
        <f t="shared" si="11"/>
        <v>NCC-187  - National Theatre</v>
      </c>
      <c r="D344" s="23"/>
      <c r="E344" s="23" t="s">
        <v>1070</v>
      </c>
      <c r="F344" s="12"/>
      <c r="G344" s="12"/>
      <c r="H344" s="23"/>
      <c r="I344" s="77"/>
      <c r="J344" s="25"/>
      <c r="K344" s="25"/>
      <c r="L344" s="78"/>
      <c r="M344" s="78"/>
      <c r="N344" s="79"/>
      <c r="O344" s="6"/>
      <c r="P344" s="6"/>
      <c r="Q344" s="6"/>
      <c r="R344" s="6" t="s">
        <v>37</v>
      </c>
      <c r="S344" s="6" t="s">
        <v>2613</v>
      </c>
      <c r="T344" s="6"/>
      <c r="U344" s="12"/>
      <c r="V344" s="12"/>
      <c r="W344" s="12"/>
      <c r="X344" s="12"/>
      <c r="Y344" s="80"/>
      <c r="Z344" s="80"/>
    </row>
    <row r="345" spans="1:26" s="6" customFormat="1" ht="45" x14ac:dyDescent="0.25">
      <c r="A345" s="82" t="s">
        <v>2614</v>
      </c>
      <c r="B345" s="82" t="s">
        <v>2615</v>
      </c>
      <c r="C345" s="82" t="str">
        <f t="shared" si="11"/>
        <v>NCC-188  - The Community of Dunleith</v>
      </c>
      <c r="D345" s="96" t="s">
        <v>2616</v>
      </c>
      <c r="E345" s="96" t="s">
        <v>130</v>
      </c>
      <c r="F345" s="97" t="s">
        <v>205</v>
      </c>
      <c r="G345" s="97"/>
      <c r="H345" s="96" t="s">
        <v>206</v>
      </c>
      <c r="I345" s="99" t="s">
        <v>2617</v>
      </c>
      <c r="J345" s="95">
        <v>2</v>
      </c>
      <c r="K345" s="95">
        <v>16</v>
      </c>
      <c r="L345" s="100" t="s">
        <v>2618</v>
      </c>
      <c r="M345" s="100" t="s">
        <v>2619</v>
      </c>
      <c r="N345" s="101" t="s">
        <v>2620</v>
      </c>
      <c r="O345" s="82" t="s">
        <v>1205</v>
      </c>
      <c r="P345" s="82">
        <v>19801</v>
      </c>
      <c r="Q345" s="82"/>
      <c r="R345" s="82" t="s">
        <v>37</v>
      </c>
      <c r="S345" s="82"/>
      <c r="T345" s="82" t="s">
        <v>38</v>
      </c>
      <c r="U345" s="97">
        <v>2010</v>
      </c>
      <c r="V345" s="97">
        <v>2010</v>
      </c>
      <c r="W345" s="97" t="s">
        <v>39</v>
      </c>
      <c r="X345" s="97"/>
      <c r="Y345" s="102" t="s">
        <v>2621</v>
      </c>
      <c r="Z345" s="102" t="s">
        <v>2622</v>
      </c>
    </row>
    <row r="346" spans="1:26" s="82" customFormat="1" ht="45" x14ac:dyDescent="0.25">
      <c r="A346" s="82" t="s">
        <v>2623</v>
      </c>
      <c r="B346" s="82" t="s">
        <v>2624</v>
      </c>
      <c r="C346" s="82" t="str">
        <f t="shared" si="11"/>
        <v>NCC-189  - Penn Farm</v>
      </c>
      <c r="D346" s="96" t="s">
        <v>2625</v>
      </c>
      <c r="E346" s="96" t="s">
        <v>29</v>
      </c>
      <c r="F346" s="97" t="s">
        <v>30</v>
      </c>
      <c r="G346" s="97"/>
      <c r="H346" s="115"/>
      <c r="I346" s="99"/>
      <c r="J346" s="95">
        <v>2</v>
      </c>
      <c r="K346" s="95">
        <v>17</v>
      </c>
      <c r="L346" s="100" t="s">
        <v>2626</v>
      </c>
      <c r="M346" s="100" t="s">
        <v>2627</v>
      </c>
      <c r="N346" s="101" t="s">
        <v>2628</v>
      </c>
      <c r="O346" s="82" t="s">
        <v>1268</v>
      </c>
      <c r="P346" s="82">
        <v>19720</v>
      </c>
      <c r="R346" s="82" t="s">
        <v>37</v>
      </c>
      <c r="T346" s="82" t="s">
        <v>38</v>
      </c>
      <c r="U346" s="97">
        <v>2010</v>
      </c>
      <c r="V346" s="97">
        <v>2010</v>
      </c>
      <c r="W346" s="97" t="s">
        <v>39</v>
      </c>
      <c r="X346" s="97"/>
      <c r="Y346" s="102" t="s">
        <v>2629</v>
      </c>
      <c r="Z346" s="102" t="s">
        <v>2630</v>
      </c>
    </row>
    <row r="347" spans="1:26" s="82" customFormat="1" ht="45" x14ac:dyDescent="0.25">
      <c r="A347" s="82" t="s">
        <v>2631</v>
      </c>
      <c r="B347" s="82" t="s">
        <v>2632</v>
      </c>
      <c r="C347" s="82" t="str">
        <f t="shared" si="11"/>
        <v>NCC-190  - First Flight of the Delaplane</v>
      </c>
      <c r="D347" s="96" t="s">
        <v>2633</v>
      </c>
      <c r="E347" s="96" t="s">
        <v>29</v>
      </c>
      <c r="F347" s="97" t="s">
        <v>30</v>
      </c>
      <c r="G347" s="97"/>
      <c r="H347" s="96" t="s">
        <v>49</v>
      </c>
      <c r="I347" s="99" t="s">
        <v>2456</v>
      </c>
      <c r="J347" s="95">
        <v>1</v>
      </c>
      <c r="K347" s="95">
        <v>12</v>
      </c>
      <c r="L347" s="100" t="s">
        <v>2634</v>
      </c>
      <c r="M347" s="100" t="s">
        <v>2635</v>
      </c>
      <c r="N347" s="101" t="s">
        <v>2636</v>
      </c>
      <c r="O347" s="82" t="s">
        <v>1205</v>
      </c>
      <c r="P347" s="82">
        <v>19805</v>
      </c>
      <c r="R347" s="82" t="s">
        <v>37</v>
      </c>
      <c r="T347" s="82" t="s">
        <v>38</v>
      </c>
      <c r="U347" s="97">
        <v>2011</v>
      </c>
      <c r="V347" s="97">
        <v>2011</v>
      </c>
      <c r="W347" s="97" t="s">
        <v>39</v>
      </c>
      <c r="X347" s="97"/>
      <c r="Y347" s="102" t="s">
        <v>2637</v>
      </c>
      <c r="Z347" s="102" t="s">
        <v>2638</v>
      </c>
    </row>
    <row r="348" spans="1:26" s="82" customFormat="1" ht="39" customHeight="1" x14ac:dyDescent="0.25">
      <c r="A348" s="82" t="s">
        <v>2639</v>
      </c>
      <c r="B348" s="82" t="s">
        <v>2640</v>
      </c>
      <c r="C348" s="82" t="str">
        <f t="shared" si="11"/>
        <v>NCC-191  - Peniel United Methodist Church</v>
      </c>
      <c r="D348" s="96" t="s">
        <v>2641</v>
      </c>
      <c r="E348" s="96" t="s">
        <v>29</v>
      </c>
      <c r="F348" s="97" t="s">
        <v>191</v>
      </c>
      <c r="G348" s="97"/>
      <c r="H348" s="96" t="s">
        <v>599</v>
      </c>
      <c r="I348" s="99" t="s">
        <v>2642</v>
      </c>
      <c r="J348" s="95">
        <v>7</v>
      </c>
      <c r="K348" s="95">
        <v>13</v>
      </c>
      <c r="L348" s="100" t="s">
        <v>2643</v>
      </c>
      <c r="M348" s="100" t="s">
        <v>2644</v>
      </c>
      <c r="N348" s="101" t="s">
        <v>2645</v>
      </c>
      <c r="O348" s="82" t="s">
        <v>1268</v>
      </c>
      <c r="P348" s="82">
        <v>19804</v>
      </c>
      <c r="R348" s="82" t="s">
        <v>37</v>
      </c>
      <c r="T348" s="82" t="s">
        <v>38</v>
      </c>
      <c r="U348" s="97">
        <v>2011</v>
      </c>
      <c r="V348" s="98">
        <v>40842</v>
      </c>
      <c r="W348" s="97" t="s">
        <v>39</v>
      </c>
      <c r="X348" s="97"/>
      <c r="Y348" s="102" t="s">
        <v>2646</v>
      </c>
      <c r="Z348" s="102" t="s">
        <v>2647</v>
      </c>
    </row>
    <row r="349" spans="1:26" s="82" customFormat="1" ht="34.35" customHeight="1" x14ac:dyDescent="0.25">
      <c r="A349" s="82" t="s">
        <v>2648</v>
      </c>
      <c r="B349" s="82" t="s">
        <v>2649</v>
      </c>
      <c r="C349" s="82" t="str">
        <f t="shared" si="11"/>
        <v>NCC-192  - Grubb / Worth Mansion</v>
      </c>
      <c r="D349" s="96" t="s">
        <v>1969</v>
      </c>
      <c r="E349" s="96" t="s">
        <v>130</v>
      </c>
      <c r="F349" s="97" t="s">
        <v>30</v>
      </c>
      <c r="G349" s="97"/>
      <c r="H349" s="96"/>
      <c r="I349" s="99"/>
      <c r="J349" s="95">
        <v>5</v>
      </c>
      <c r="K349" s="95">
        <v>7</v>
      </c>
      <c r="L349" s="100" t="s">
        <v>2650</v>
      </c>
      <c r="M349" s="100" t="s">
        <v>2651</v>
      </c>
      <c r="N349" s="101" t="s">
        <v>2652</v>
      </c>
      <c r="O349" s="82" t="s">
        <v>1183</v>
      </c>
      <c r="P349" s="82">
        <v>19703</v>
      </c>
      <c r="R349" s="82" t="s">
        <v>37</v>
      </c>
      <c r="T349" s="82" t="s">
        <v>38</v>
      </c>
      <c r="U349" s="97">
        <v>2012</v>
      </c>
      <c r="V349" s="98">
        <v>41063</v>
      </c>
      <c r="W349" s="97" t="s">
        <v>39</v>
      </c>
      <c r="X349" s="97"/>
      <c r="Y349" s="102"/>
      <c r="Z349" s="102"/>
    </row>
    <row r="350" spans="1:26" s="82" customFormat="1" ht="33.6" customHeight="1" x14ac:dyDescent="0.25">
      <c r="A350" s="82" t="s">
        <v>2653</v>
      </c>
      <c r="B350" s="82" t="s">
        <v>2654</v>
      </c>
      <c r="C350" s="82" t="str">
        <f t="shared" si="11"/>
        <v>NCC-193  - Crane Hook Church</v>
      </c>
      <c r="D350" s="96" t="s">
        <v>2655</v>
      </c>
      <c r="E350" s="96" t="s">
        <v>130</v>
      </c>
      <c r="F350" s="97" t="s">
        <v>191</v>
      </c>
      <c r="G350" s="97"/>
      <c r="H350" s="96"/>
      <c r="I350" s="99"/>
      <c r="J350" s="95">
        <v>2</v>
      </c>
      <c r="K350" s="95">
        <v>16</v>
      </c>
      <c r="L350" s="100" t="s">
        <v>2656</v>
      </c>
      <c r="M350" s="100" t="s">
        <v>2657</v>
      </c>
      <c r="N350" s="101" t="s">
        <v>2658</v>
      </c>
      <c r="O350" s="82" t="s">
        <v>1268</v>
      </c>
      <c r="P350" s="82">
        <v>19720</v>
      </c>
      <c r="R350" s="82" t="s">
        <v>37</v>
      </c>
      <c r="S350" s="82" t="s">
        <v>2659</v>
      </c>
      <c r="T350" s="82" t="s">
        <v>38</v>
      </c>
      <c r="U350" s="97">
        <v>2012</v>
      </c>
      <c r="V350" s="98">
        <v>41103</v>
      </c>
      <c r="W350" s="97" t="s">
        <v>39</v>
      </c>
      <c r="X350" s="97"/>
      <c r="Y350" s="102"/>
      <c r="Z350" s="102"/>
    </row>
    <row r="351" spans="1:26" s="82" customFormat="1" ht="75" x14ac:dyDescent="0.25">
      <c r="A351" s="82" t="s">
        <v>2660</v>
      </c>
      <c r="B351" s="82" t="s">
        <v>2661</v>
      </c>
      <c r="C351" s="82" t="str">
        <f t="shared" si="11"/>
        <v>NCC-194  - First African-American Schoolhouse in Hockessin</v>
      </c>
      <c r="D351" s="96" t="s">
        <v>1396</v>
      </c>
      <c r="E351" s="96" t="s">
        <v>29</v>
      </c>
      <c r="F351" s="97" t="s">
        <v>276</v>
      </c>
      <c r="G351" s="97" t="s">
        <v>293</v>
      </c>
      <c r="H351" s="96"/>
      <c r="I351" s="99" t="s">
        <v>2156</v>
      </c>
      <c r="J351" s="95">
        <v>4</v>
      </c>
      <c r="K351" s="95">
        <v>22</v>
      </c>
      <c r="L351" s="100" t="s">
        <v>2662</v>
      </c>
      <c r="M351" s="100" t="s">
        <v>2663</v>
      </c>
      <c r="N351" s="101" t="s">
        <v>2664</v>
      </c>
      <c r="O351" s="82" t="s">
        <v>1399</v>
      </c>
      <c r="P351" s="82">
        <v>19707</v>
      </c>
      <c r="R351" s="82" t="s">
        <v>37</v>
      </c>
      <c r="S351" s="82" t="s">
        <v>2665</v>
      </c>
      <c r="T351" s="82" t="s">
        <v>38</v>
      </c>
      <c r="U351" s="97">
        <v>2012</v>
      </c>
      <c r="V351" s="98">
        <v>41570</v>
      </c>
      <c r="W351" s="97" t="s">
        <v>39</v>
      </c>
      <c r="X351" s="97"/>
      <c r="Y351" s="102"/>
      <c r="Z351" s="102"/>
    </row>
    <row r="352" spans="1:26" s="82" customFormat="1" ht="45" x14ac:dyDescent="0.25">
      <c r="A352" s="82" t="s">
        <v>2666</v>
      </c>
      <c r="B352" s="82" t="s">
        <v>2667</v>
      </c>
      <c r="C352" s="82" t="str">
        <f t="shared" si="11"/>
        <v>NCC-195  - Vic Willis</v>
      </c>
      <c r="D352" s="96" t="s">
        <v>2668</v>
      </c>
      <c r="E352" s="96" t="s">
        <v>29</v>
      </c>
      <c r="F352" s="97" t="s">
        <v>62</v>
      </c>
      <c r="G352" s="97"/>
      <c r="H352" s="96"/>
      <c r="I352" s="99"/>
      <c r="J352" s="95">
        <v>8</v>
      </c>
      <c r="K352" s="95">
        <v>25</v>
      </c>
      <c r="L352" s="100" t="s">
        <v>2669</v>
      </c>
      <c r="M352" s="100" t="s">
        <v>2670</v>
      </c>
      <c r="N352" s="101" t="s">
        <v>2671</v>
      </c>
      <c r="O352" s="82" t="s">
        <v>1428</v>
      </c>
      <c r="P352" s="82">
        <v>19711</v>
      </c>
      <c r="R352" s="82" t="s">
        <v>37</v>
      </c>
      <c r="T352" s="82" t="s">
        <v>38</v>
      </c>
      <c r="U352" s="97">
        <v>2013</v>
      </c>
      <c r="V352" s="98">
        <v>41395</v>
      </c>
      <c r="W352" s="97" t="s">
        <v>39</v>
      </c>
      <c r="X352" s="97"/>
      <c r="Y352" s="102" t="s">
        <v>2672</v>
      </c>
      <c r="Z352" s="102" t="s">
        <v>2673</v>
      </c>
    </row>
    <row r="353" spans="1:26" s="82" customFormat="1" ht="45" x14ac:dyDescent="0.25">
      <c r="A353" s="82" t="s">
        <v>2674</v>
      </c>
      <c r="B353" s="82" t="s">
        <v>2675</v>
      </c>
      <c r="C353" s="82" t="str">
        <f t="shared" si="11"/>
        <v>NCC-196  - Judge Morris Estate</v>
      </c>
      <c r="D353" s="96" t="s">
        <v>2676</v>
      </c>
      <c r="E353" s="96" t="s">
        <v>29</v>
      </c>
      <c r="F353" s="97" t="s">
        <v>30</v>
      </c>
      <c r="G353" s="97"/>
      <c r="H353" s="96" t="s">
        <v>986</v>
      </c>
      <c r="I353" s="99" t="s">
        <v>2677</v>
      </c>
      <c r="J353" s="95">
        <v>9</v>
      </c>
      <c r="K353" s="95">
        <v>21</v>
      </c>
      <c r="L353" s="100" t="s">
        <v>2678</v>
      </c>
      <c r="M353" s="100" t="s">
        <v>2679</v>
      </c>
      <c r="N353" s="101" t="s">
        <v>2680</v>
      </c>
      <c r="O353" s="82" t="s">
        <v>1428</v>
      </c>
      <c r="P353" s="82">
        <v>19711</v>
      </c>
      <c r="R353" s="82" t="s">
        <v>37</v>
      </c>
      <c r="T353" s="82" t="s">
        <v>38</v>
      </c>
      <c r="U353" s="97">
        <v>2013</v>
      </c>
      <c r="V353" s="98">
        <v>41465</v>
      </c>
      <c r="W353" s="97" t="s">
        <v>1292</v>
      </c>
      <c r="X353" s="97"/>
      <c r="Y353" s="102" t="s">
        <v>2681</v>
      </c>
      <c r="Z353" s="102" t="s">
        <v>2682</v>
      </c>
    </row>
    <row r="354" spans="1:26" s="82" customFormat="1" ht="45" x14ac:dyDescent="0.25">
      <c r="A354" s="82" t="s">
        <v>2683</v>
      </c>
      <c r="B354" s="82" t="s">
        <v>2684</v>
      </c>
      <c r="C354" s="82" t="str">
        <f t="shared" si="11"/>
        <v>NCC-197  - Lombardy Hall</v>
      </c>
      <c r="D354" s="96" t="s">
        <v>2685</v>
      </c>
      <c r="E354" s="96" t="s">
        <v>29</v>
      </c>
      <c r="F354" s="97" t="s">
        <v>30</v>
      </c>
      <c r="G354" s="97"/>
      <c r="H354" s="96"/>
      <c r="I354" s="99"/>
      <c r="J354" s="95">
        <v>4</v>
      </c>
      <c r="K354" s="95">
        <v>6</v>
      </c>
      <c r="L354" s="100" t="s">
        <v>2686</v>
      </c>
      <c r="M354" s="100" t="s">
        <v>2687</v>
      </c>
      <c r="N354" s="101" t="s">
        <v>1215</v>
      </c>
      <c r="O354" s="82" t="s">
        <v>1205</v>
      </c>
      <c r="P354" s="82">
        <v>19803</v>
      </c>
      <c r="R354" s="82" t="s">
        <v>37</v>
      </c>
      <c r="S354" s="82" t="s">
        <v>2688</v>
      </c>
      <c r="T354" s="82" t="s">
        <v>38</v>
      </c>
      <c r="U354" s="97">
        <v>2013</v>
      </c>
      <c r="V354" s="97">
        <v>2013</v>
      </c>
      <c r="W354" s="97" t="s">
        <v>1292</v>
      </c>
      <c r="X354" s="97"/>
      <c r="Y354" s="102" t="s">
        <v>2689</v>
      </c>
      <c r="Z354" s="102" t="s">
        <v>2690</v>
      </c>
    </row>
    <row r="355" spans="1:26" s="82" customFormat="1" ht="45" x14ac:dyDescent="0.25">
      <c r="A355" s="82" t="s">
        <v>2691</v>
      </c>
      <c r="B355" s="82" t="s">
        <v>2692</v>
      </c>
      <c r="C355" s="82" t="str">
        <f t="shared" si="11"/>
        <v>NCC-197A  - Riverview Cemetery</v>
      </c>
      <c r="D355" s="96" t="s">
        <v>1220</v>
      </c>
      <c r="E355" s="96" t="s">
        <v>29</v>
      </c>
      <c r="F355" s="97" t="s">
        <v>30</v>
      </c>
      <c r="G355" s="97"/>
      <c r="H355" s="96" t="s">
        <v>385</v>
      </c>
      <c r="I355" s="99" t="s">
        <v>2693</v>
      </c>
      <c r="J355" s="95">
        <v>2</v>
      </c>
      <c r="K355" s="95">
        <v>1</v>
      </c>
      <c r="L355" s="100" t="s">
        <v>2694</v>
      </c>
      <c r="M355" s="100" t="s">
        <v>2695</v>
      </c>
      <c r="N355" s="101" t="s">
        <v>2696</v>
      </c>
      <c r="O355" s="82" t="s">
        <v>1205</v>
      </c>
      <c r="P355" s="82">
        <v>19802</v>
      </c>
      <c r="R355" s="82" t="s">
        <v>37</v>
      </c>
      <c r="T355" s="82" t="s">
        <v>38</v>
      </c>
      <c r="U355" s="97">
        <v>2013</v>
      </c>
      <c r="V355" s="98">
        <v>41610</v>
      </c>
      <c r="W355" s="97" t="s">
        <v>1292</v>
      </c>
      <c r="X355" s="97"/>
      <c r="Y355" s="102" t="s">
        <v>2697</v>
      </c>
      <c r="Z355" s="102" t="s">
        <v>2698</v>
      </c>
    </row>
    <row r="356" spans="1:26" s="178" customFormat="1" ht="45" x14ac:dyDescent="0.25">
      <c r="A356" s="82" t="s">
        <v>2699</v>
      </c>
      <c r="B356" s="82" t="s">
        <v>2700</v>
      </c>
      <c r="C356" s="82" t="str">
        <f t="shared" si="11"/>
        <v>NCC-197B  - Landing of The Swedes</v>
      </c>
      <c r="D356" s="96" t="s">
        <v>2096</v>
      </c>
      <c r="E356" s="96" t="s">
        <v>29</v>
      </c>
      <c r="F356" s="97" t="s">
        <v>30</v>
      </c>
      <c r="G356" s="97"/>
      <c r="H356" s="96" t="s">
        <v>867</v>
      </c>
      <c r="I356" s="99" t="s">
        <v>2701</v>
      </c>
      <c r="J356" s="95">
        <v>2</v>
      </c>
      <c r="K356" s="95">
        <v>2</v>
      </c>
      <c r="L356" s="100" t="s">
        <v>2702</v>
      </c>
      <c r="M356" s="100" t="s">
        <v>2703</v>
      </c>
      <c r="N356" s="82" t="s">
        <v>2704</v>
      </c>
      <c r="O356" s="82" t="s">
        <v>1205</v>
      </c>
      <c r="P356" s="82">
        <v>19802</v>
      </c>
      <c r="Q356" s="82"/>
      <c r="R356" s="82" t="s">
        <v>37</v>
      </c>
      <c r="S356" s="82" t="s">
        <v>2705</v>
      </c>
      <c r="T356" s="82" t="s">
        <v>38</v>
      </c>
      <c r="U356" s="97">
        <v>2008</v>
      </c>
      <c r="V356" s="97">
        <v>2008</v>
      </c>
      <c r="W356" s="97" t="s">
        <v>1292</v>
      </c>
      <c r="X356" s="97"/>
      <c r="Y356" s="102" t="s">
        <v>2706</v>
      </c>
      <c r="Z356" s="102" t="s">
        <v>2707</v>
      </c>
    </row>
    <row r="357" spans="1:26" s="82" customFormat="1" ht="41.85" customHeight="1" x14ac:dyDescent="0.25">
      <c r="A357" s="82" t="s">
        <v>2708</v>
      </c>
      <c r="B357" s="82" t="s">
        <v>2709</v>
      </c>
      <c r="C357" s="82" t="str">
        <f t="shared" si="11"/>
        <v>NCC-198  - Hockessin Friends Meetinghouse</v>
      </c>
      <c r="D357" s="96" t="s">
        <v>1396</v>
      </c>
      <c r="E357" s="96" t="s">
        <v>29</v>
      </c>
      <c r="F357" s="97" t="s">
        <v>191</v>
      </c>
      <c r="G357" s="97"/>
      <c r="H357" s="96"/>
      <c r="I357" s="99" t="s">
        <v>2710</v>
      </c>
      <c r="J357" s="95">
        <v>4</v>
      </c>
      <c r="K357" s="95">
        <v>22</v>
      </c>
      <c r="L357" s="100" t="s">
        <v>2711</v>
      </c>
      <c r="M357" s="100" t="s">
        <v>2712</v>
      </c>
      <c r="N357" s="101" t="s">
        <v>2713</v>
      </c>
      <c r="O357" s="82" t="s">
        <v>1399</v>
      </c>
      <c r="P357" s="82">
        <v>19707</v>
      </c>
      <c r="R357" s="82" t="s">
        <v>37</v>
      </c>
      <c r="T357" s="82" t="s">
        <v>38</v>
      </c>
      <c r="U357" s="97">
        <v>2013</v>
      </c>
      <c r="V357" s="98">
        <v>41620</v>
      </c>
      <c r="W357" s="97" t="s">
        <v>1292</v>
      </c>
      <c r="X357" s="97"/>
      <c r="Y357" s="102"/>
      <c r="Z357" s="102"/>
    </row>
    <row r="358" spans="1:26" s="82" customFormat="1" ht="60" x14ac:dyDescent="0.25">
      <c r="A358" s="82" t="s">
        <v>2714</v>
      </c>
      <c r="B358" s="82" t="s">
        <v>2715</v>
      </c>
      <c r="C358" s="82" t="str">
        <f t="shared" si="11"/>
        <v>NCC-199  - The "Annie Oakleys": First Female Prison Guards in the United States</v>
      </c>
      <c r="D358" s="96" t="s">
        <v>2716</v>
      </c>
      <c r="E358" s="96" t="s">
        <v>130</v>
      </c>
      <c r="F358" s="97" t="s">
        <v>30</v>
      </c>
      <c r="G358" s="97" t="s">
        <v>931</v>
      </c>
      <c r="H358" s="96"/>
      <c r="I358" s="99" t="s">
        <v>2717</v>
      </c>
      <c r="J358" s="95">
        <v>7</v>
      </c>
      <c r="K358" s="95">
        <v>19</v>
      </c>
      <c r="L358" s="100" t="s">
        <v>2718</v>
      </c>
      <c r="M358" s="100" t="s">
        <v>2719</v>
      </c>
      <c r="N358" s="101" t="s">
        <v>2720</v>
      </c>
      <c r="O358" s="82" t="s">
        <v>1205</v>
      </c>
      <c r="P358" s="82">
        <v>19808</v>
      </c>
      <c r="R358" s="82" t="s">
        <v>37</v>
      </c>
      <c r="T358" s="82" t="s">
        <v>38</v>
      </c>
      <c r="U358" s="97">
        <v>2014</v>
      </c>
      <c r="V358" s="98">
        <v>41788</v>
      </c>
      <c r="W358" s="97" t="s">
        <v>1292</v>
      </c>
      <c r="X358" s="97"/>
      <c r="Y358" s="114" t="s">
        <v>2721</v>
      </c>
      <c r="Z358" s="102" t="s">
        <v>2722</v>
      </c>
    </row>
    <row r="359" spans="1:26" s="82" customFormat="1" ht="45" x14ac:dyDescent="0.25">
      <c r="A359" s="82" t="s">
        <v>2723</v>
      </c>
      <c r="B359" s="82" t="s">
        <v>2724</v>
      </c>
      <c r="C359" s="82" t="str">
        <f t="shared" si="11"/>
        <v>NCC-200  - Mother Union American Methodist Episcopal Church</v>
      </c>
      <c r="D359" s="96" t="s">
        <v>2725</v>
      </c>
      <c r="E359" s="96" t="s">
        <v>29</v>
      </c>
      <c r="F359" s="97" t="s">
        <v>191</v>
      </c>
      <c r="G359" s="97" t="s">
        <v>293</v>
      </c>
      <c r="H359" s="96"/>
      <c r="I359" s="99" t="s">
        <v>2726</v>
      </c>
      <c r="J359" s="95">
        <v>3</v>
      </c>
      <c r="K359" s="95">
        <v>2</v>
      </c>
      <c r="L359" s="100" t="s">
        <v>2727</v>
      </c>
      <c r="M359" s="100" t="s">
        <v>2728</v>
      </c>
      <c r="N359" s="101" t="s">
        <v>2729</v>
      </c>
      <c r="O359" s="82" t="s">
        <v>1205</v>
      </c>
      <c r="P359" s="82">
        <v>19801</v>
      </c>
      <c r="R359" s="82" t="s">
        <v>37</v>
      </c>
      <c r="S359" s="82" t="s">
        <v>2730</v>
      </c>
      <c r="T359" s="82" t="s">
        <v>38</v>
      </c>
      <c r="U359" s="97">
        <v>2014</v>
      </c>
      <c r="V359" s="98">
        <v>41799</v>
      </c>
      <c r="W359" s="97" t="s">
        <v>1292</v>
      </c>
      <c r="X359" s="97"/>
      <c r="Y359" s="102"/>
      <c r="Z359" s="102"/>
    </row>
    <row r="360" spans="1:26" s="82" customFormat="1" ht="30" x14ac:dyDescent="0.25">
      <c r="A360" s="82" t="s">
        <v>2731</v>
      </c>
      <c r="B360" s="82" t="s">
        <v>2732</v>
      </c>
      <c r="C360" s="82" t="str">
        <f t="shared" si="11"/>
        <v>NCC-201  - Blue Rock Community Club</v>
      </c>
      <c r="D360" s="96" t="s">
        <v>1747</v>
      </c>
      <c r="E360" s="96" t="s">
        <v>130</v>
      </c>
      <c r="F360" s="97" t="s">
        <v>42</v>
      </c>
      <c r="G360" s="97"/>
      <c r="H360" s="96" t="s">
        <v>77</v>
      </c>
      <c r="I360" s="99" t="s">
        <v>2733</v>
      </c>
      <c r="J360" s="95">
        <v>1</v>
      </c>
      <c r="K360" s="95">
        <v>6</v>
      </c>
      <c r="L360" s="100" t="s">
        <v>2734</v>
      </c>
      <c r="M360" s="100" t="s">
        <v>2735</v>
      </c>
      <c r="N360" s="101" t="s">
        <v>2736</v>
      </c>
      <c r="O360" s="82" t="s">
        <v>1205</v>
      </c>
      <c r="P360" s="82">
        <v>19809</v>
      </c>
      <c r="R360" s="82" t="s">
        <v>37</v>
      </c>
      <c r="T360" s="82" t="s">
        <v>38</v>
      </c>
      <c r="U360" s="97">
        <v>2014</v>
      </c>
      <c r="V360" s="98">
        <v>41795</v>
      </c>
      <c r="W360" s="97" t="s">
        <v>1292</v>
      </c>
      <c r="X360" s="97"/>
      <c r="Y360" s="131" t="s">
        <v>2737</v>
      </c>
      <c r="Z360" s="131" t="s">
        <v>2738</v>
      </c>
    </row>
    <row r="361" spans="1:26" s="82" customFormat="1" ht="30" x14ac:dyDescent="0.2">
      <c r="A361" s="82" t="s">
        <v>2739</v>
      </c>
      <c r="B361" s="82" t="s">
        <v>2740</v>
      </c>
      <c r="C361" s="82" t="str">
        <f t="shared" si="11"/>
        <v>NCC-202  - Blackbird School (District No. 69)</v>
      </c>
      <c r="D361" s="96" t="s">
        <v>2741</v>
      </c>
      <c r="E361" s="96" t="s">
        <v>29</v>
      </c>
      <c r="F361" s="97" t="s">
        <v>276</v>
      </c>
      <c r="G361" s="97"/>
      <c r="H361" s="96" t="s">
        <v>84</v>
      </c>
      <c r="I361" s="235" t="s">
        <v>796</v>
      </c>
      <c r="J361" s="95">
        <v>14</v>
      </c>
      <c r="K361" s="95">
        <v>11</v>
      </c>
      <c r="L361" s="100" t="s">
        <v>2742</v>
      </c>
      <c r="M361" s="100" t="s">
        <v>2743</v>
      </c>
      <c r="N361" s="101" t="s">
        <v>2744</v>
      </c>
      <c r="O361" s="82" t="s">
        <v>1515</v>
      </c>
      <c r="P361" s="82">
        <v>19734</v>
      </c>
      <c r="R361" s="82" t="s">
        <v>37</v>
      </c>
      <c r="T361" s="82" t="s">
        <v>38</v>
      </c>
      <c r="U361" s="97">
        <v>2014</v>
      </c>
      <c r="V361" s="98">
        <v>41893</v>
      </c>
      <c r="W361" s="97" t="s">
        <v>39</v>
      </c>
      <c r="X361" s="97"/>
      <c r="Y361" s="102"/>
      <c r="Z361" s="102"/>
    </row>
    <row r="362" spans="1:26" s="178" customFormat="1" ht="45" x14ac:dyDescent="0.25">
      <c r="A362" s="82" t="s">
        <v>2745</v>
      </c>
      <c r="B362" s="82" t="s">
        <v>2746</v>
      </c>
      <c r="C362" s="82" t="str">
        <f t="shared" si="11"/>
        <v>NCC-203  - Poplar Hall</v>
      </c>
      <c r="D362" s="96" t="s">
        <v>1530</v>
      </c>
      <c r="E362" s="96" t="s">
        <v>29</v>
      </c>
      <c r="F362" s="97" t="s">
        <v>30</v>
      </c>
      <c r="G362" s="97"/>
      <c r="H362" s="96" t="s">
        <v>165</v>
      </c>
      <c r="I362" s="99" t="s">
        <v>2747</v>
      </c>
      <c r="J362" s="95">
        <v>10</v>
      </c>
      <c r="K362" s="95">
        <v>27</v>
      </c>
      <c r="L362" s="100" t="s">
        <v>2748</v>
      </c>
      <c r="M362" s="100" t="s">
        <v>2749</v>
      </c>
      <c r="N362" s="101" t="s">
        <v>2750</v>
      </c>
      <c r="O362" s="82" t="s">
        <v>1428</v>
      </c>
      <c r="P362" s="82">
        <v>19702</v>
      </c>
      <c r="Q362" s="82" t="s">
        <v>2746</v>
      </c>
      <c r="R362" s="82" t="s">
        <v>2751</v>
      </c>
      <c r="S362" s="82"/>
      <c r="T362" s="82" t="s">
        <v>38</v>
      </c>
      <c r="U362" s="97">
        <v>2014</v>
      </c>
      <c r="V362" s="98">
        <v>41837</v>
      </c>
      <c r="W362" s="97" t="s">
        <v>39</v>
      </c>
      <c r="X362" s="97"/>
      <c r="Y362" s="102" t="s">
        <v>2752</v>
      </c>
      <c r="Z362" s="102" t="s">
        <v>2753</v>
      </c>
    </row>
    <row r="363" spans="1:26" s="82" customFormat="1" ht="45" x14ac:dyDescent="0.25">
      <c r="A363" s="82" t="s">
        <v>2754</v>
      </c>
      <c r="B363" s="82" t="s">
        <v>2755</v>
      </c>
      <c r="C363" s="82" t="str">
        <f t="shared" si="11"/>
        <v>NCC-204  - William Montgomery House</v>
      </c>
      <c r="D363" s="96" t="s">
        <v>2756</v>
      </c>
      <c r="E363" s="96" t="s">
        <v>29</v>
      </c>
      <c r="F363" s="97" t="s">
        <v>30</v>
      </c>
      <c r="G363" s="97"/>
      <c r="H363" s="96" t="s">
        <v>192</v>
      </c>
      <c r="I363" s="99" t="s">
        <v>2757</v>
      </c>
      <c r="J363" s="95">
        <v>9</v>
      </c>
      <c r="K363" s="95">
        <v>21</v>
      </c>
      <c r="L363" s="100" t="s">
        <v>2758</v>
      </c>
      <c r="M363" s="100" t="s">
        <v>2759</v>
      </c>
      <c r="N363" s="101" t="s">
        <v>2760</v>
      </c>
      <c r="O363" s="82" t="s">
        <v>1205</v>
      </c>
      <c r="P363" s="82">
        <v>19808</v>
      </c>
      <c r="R363" s="82" t="s">
        <v>37</v>
      </c>
      <c r="T363" s="82" t="s">
        <v>38</v>
      </c>
      <c r="U363" s="97">
        <v>2014</v>
      </c>
      <c r="V363" s="98">
        <v>41898</v>
      </c>
      <c r="W363" s="97" t="s">
        <v>39</v>
      </c>
      <c r="X363" s="97"/>
      <c r="Y363" s="102" t="s">
        <v>2761</v>
      </c>
      <c r="Z363" s="102" t="s">
        <v>2762</v>
      </c>
    </row>
    <row r="364" spans="1:26" s="82" customFormat="1" ht="45" x14ac:dyDescent="0.25">
      <c r="A364" s="82" t="s">
        <v>2763</v>
      </c>
      <c r="B364" s="82" t="s">
        <v>2764</v>
      </c>
      <c r="C364" s="82" t="str">
        <f t="shared" si="11"/>
        <v>NCC-205  - Christiana Public School #111-C</v>
      </c>
      <c r="D364" s="96" t="s">
        <v>2588</v>
      </c>
      <c r="E364" s="96" t="s">
        <v>29</v>
      </c>
      <c r="F364" s="97" t="s">
        <v>276</v>
      </c>
      <c r="G364" s="97" t="s">
        <v>293</v>
      </c>
      <c r="H364" s="96"/>
      <c r="I364" s="99" t="s">
        <v>2765</v>
      </c>
      <c r="J364" s="95">
        <v>9</v>
      </c>
      <c r="K364" s="95">
        <v>18</v>
      </c>
      <c r="L364" s="100" t="s">
        <v>2766</v>
      </c>
      <c r="M364" s="100" t="s">
        <v>2767</v>
      </c>
      <c r="N364" s="101" t="s">
        <v>2768</v>
      </c>
      <c r="O364" s="82" t="s">
        <v>1550</v>
      </c>
      <c r="P364" s="82">
        <v>19702</v>
      </c>
      <c r="R364" s="82" t="s">
        <v>37</v>
      </c>
      <c r="S364" s="82" t="s">
        <v>289</v>
      </c>
      <c r="T364" s="82" t="s">
        <v>1269</v>
      </c>
      <c r="U364" s="97">
        <v>2014</v>
      </c>
      <c r="V364" s="185" t="s">
        <v>2769</v>
      </c>
      <c r="W364" s="97" t="s">
        <v>1292</v>
      </c>
      <c r="X364" s="97"/>
      <c r="Y364" s="102" t="s">
        <v>2770</v>
      </c>
      <c r="Z364" s="102" t="s">
        <v>2771</v>
      </c>
    </row>
    <row r="365" spans="1:26" s="82" customFormat="1" ht="41.1" customHeight="1" x14ac:dyDescent="0.25">
      <c r="A365" s="82" t="s">
        <v>2772</v>
      </c>
      <c r="B365" s="82" t="s">
        <v>2773</v>
      </c>
      <c r="C365" s="82" t="str">
        <f t="shared" si="11"/>
        <v>NCC-206  - Newark Passenger Railroad Station</v>
      </c>
      <c r="D365" s="96" t="s">
        <v>2774</v>
      </c>
      <c r="E365" s="96" t="s">
        <v>29</v>
      </c>
      <c r="F365" s="97" t="s">
        <v>30</v>
      </c>
      <c r="G365" s="97"/>
      <c r="H365" s="96"/>
      <c r="I365" s="99" t="s">
        <v>2775</v>
      </c>
      <c r="J365" s="95">
        <v>8</v>
      </c>
      <c r="K365" s="95">
        <v>25</v>
      </c>
      <c r="L365" s="100" t="s">
        <v>2776</v>
      </c>
      <c r="M365" s="100" t="s">
        <v>2777</v>
      </c>
      <c r="N365" s="101" t="s">
        <v>2778</v>
      </c>
      <c r="O365" s="82" t="s">
        <v>1428</v>
      </c>
      <c r="P365" s="82">
        <v>19711</v>
      </c>
      <c r="R365" s="82" t="s">
        <v>37</v>
      </c>
      <c r="T365" s="82" t="s">
        <v>1269</v>
      </c>
      <c r="U365" s="97">
        <v>2014</v>
      </c>
      <c r="V365" s="98">
        <v>42108</v>
      </c>
      <c r="W365" s="97" t="s">
        <v>1292</v>
      </c>
      <c r="X365" s="97"/>
      <c r="Y365" s="102"/>
      <c r="Z365" s="102"/>
    </row>
    <row r="366" spans="1:26" s="82" customFormat="1" ht="45" x14ac:dyDescent="0.25">
      <c r="A366" s="82" t="s">
        <v>2779</v>
      </c>
      <c r="B366" s="82" t="s">
        <v>2780</v>
      </c>
      <c r="C366" s="82" t="str">
        <f t="shared" si="11"/>
        <v>NCC-207  - Delaware Children's Theatre</v>
      </c>
      <c r="D366" s="96" t="s">
        <v>2596</v>
      </c>
      <c r="E366" s="96" t="s">
        <v>29</v>
      </c>
      <c r="F366" s="97" t="s">
        <v>30</v>
      </c>
      <c r="G366" s="97"/>
      <c r="H366" s="96" t="s">
        <v>1076</v>
      </c>
      <c r="I366" s="99" t="s">
        <v>2781</v>
      </c>
      <c r="J366" s="95">
        <v>3</v>
      </c>
      <c r="K366" s="95">
        <v>2</v>
      </c>
      <c r="L366" s="100" t="s">
        <v>2782</v>
      </c>
      <c r="M366" s="100" t="s">
        <v>2783</v>
      </c>
      <c r="N366" s="101" t="s">
        <v>2784</v>
      </c>
      <c r="O366" s="82" t="s">
        <v>1205</v>
      </c>
      <c r="P366" s="82">
        <v>19806</v>
      </c>
      <c r="R366" s="82" t="s">
        <v>37</v>
      </c>
      <c r="T366" s="82" t="s">
        <v>1269</v>
      </c>
      <c r="U366" s="97">
        <v>2014</v>
      </c>
      <c r="V366" s="98">
        <v>41963</v>
      </c>
      <c r="W366" s="97" t="s">
        <v>1292</v>
      </c>
      <c r="X366" s="97"/>
      <c r="Y366" s="102" t="s">
        <v>2785</v>
      </c>
      <c r="Z366" s="102" t="s">
        <v>2786</v>
      </c>
    </row>
    <row r="367" spans="1:26" s="82" customFormat="1" ht="45" x14ac:dyDescent="0.25">
      <c r="A367" s="82" t="s">
        <v>2787</v>
      </c>
      <c r="B367" s="82" t="s">
        <v>2788</v>
      </c>
      <c r="C367" s="82" t="str">
        <f t="shared" si="11"/>
        <v>NCC-208  - Tweed's Tavern</v>
      </c>
      <c r="D367" s="96" t="s">
        <v>2789</v>
      </c>
      <c r="E367" s="96" t="s">
        <v>346</v>
      </c>
      <c r="F367" s="97" t="s">
        <v>30</v>
      </c>
      <c r="G367" s="97"/>
      <c r="H367" s="96"/>
      <c r="I367" s="99" t="s">
        <v>2790</v>
      </c>
      <c r="J367" s="95">
        <v>4</v>
      </c>
      <c r="K367" s="95">
        <v>22</v>
      </c>
      <c r="L367" s="100" t="s">
        <v>2791</v>
      </c>
      <c r="M367" s="100" t="s">
        <v>2792</v>
      </c>
      <c r="N367" s="101" t="s">
        <v>2793</v>
      </c>
      <c r="O367" s="82" t="s">
        <v>1399</v>
      </c>
      <c r="P367" s="82">
        <v>19808</v>
      </c>
      <c r="R367" s="82" t="s">
        <v>37</v>
      </c>
      <c r="T367" s="82" t="s">
        <v>1269</v>
      </c>
      <c r="U367" s="97">
        <v>2015</v>
      </c>
      <c r="V367" s="98">
        <v>42164</v>
      </c>
      <c r="W367" s="97" t="s">
        <v>1292</v>
      </c>
      <c r="X367" s="97"/>
      <c r="Y367" s="102" t="s">
        <v>2794</v>
      </c>
      <c r="Z367" s="114" t="s">
        <v>2795</v>
      </c>
    </row>
    <row r="368" spans="1:26" s="82" customFormat="1" ht="45" x14ac:dyDescent="0.25">
      <c r="A368" s="82" t="s">
        <v>2796</v>
      </c>
      <c r="B368" s="82" t="s">
        <v>2797</v>
      </c>
      <c r="C368" s="82" t="str">
        <f t="shared" si="11"/>
        <v>NCC-209  - Former Site of the Delcastle Prison Farm</v>
      </c>
      <c r="D368" s="96" t="s">
        <v>2756</v>
      </c>
      <c r="E368" s="96" t="s">
        <v>29</v>
      </c>
      <c r="F368" s="97" t="s">
        <v>30</v>
      </c>
      <c r="G368" s="97"/>
      <c r="H368" s="96" t="s">
        <v>728</v>
      </c>
      <c r="I368" s="99" t="s">
        <v>2798</v>
      </c>
      <c r="J368" s="95">
        <v>7</v>
      </c>
      <c r="K368" s="95">
        <v>21</v>
      </c>
      <c r="L368" s="100" t="s">
        <v>2799</v>
      </c>
      <c r="M368" s="100" t="s">
        <v>2800</v>
      </c>
      <c r="N368" s="101" t="s">
        <v>2801</v>
      </c>
      <c r="O368" s="82" t="s">
        <v>1205</v>
      </c>
      <c r="P368" s="82">
        <v>19808</v>
      </c>
      <c r="R368" s="82" t="s">
        <v>37</v>
      </c>
      <c r="T368" s="82" t="s">
        <v>1269</v>
      </c>
      <c r="U368" s="97">
        <v>2016</v>
      </c>
      <c r="V368" s="98">
        <v>42608</v>
      </c>
      <c r="W368" s="97" t="s">
        <v>1292</v>
      </c>
      <c r="X368" s="97"/>
      <c r="Y368" s="131" t="s">
        <v>2802</v>
      </c>
      <c r="Z368" s="102" t="s">
        <v>2803</v>
      </c>
    </row>
    <row r="369" spans="1:26" s="82" customFormat="1" ht="45" x14ac:dyDescent="0.25">
      <c r="A369" s="82" t="s">
        <v>2804</v>
      </c>
      <c r="B369" s="82" t="s">
        <v>2805</v>
      </c>
      <c r="C369" s="82" t="str">
        <f t="shared" ref="C369:C400" si="12">A369 &amp; " - " &amp; B369</f>
        <v>NCC-210  - Former Site of the Alston and Hunn Farms</v>
      </c>
      <c r="D369" s="96" t="s">
        <v>2806</v>
      </c>
      <c r="E369" s="96" t="s">
        <v>29</v>
      </c>
      <c r="F369" s="97" t="s">
        <v>30</v>
      </c>
      <c r="G369" s="97" t="s">
        <v>293</v>
      </c>
      <c r="H369" s="96"/>
      <c r="I369" s="99" t="s">
        <v>2807</v>
      </c>
      <c r="J369" s="95">
        <v>10</v>
      </c>
      <c r="K369" s="95">
        <v>8</v>
      </c>
      <c r="L369" s="100" t="s">
        <v>2808</v>
      </c>
      <c r="M369" s="100" t="s">
        <v>2809</v>
      </c>
      <c r="N369" s="101" t="s">
        <v>2810</v>
      </c>
      <c r="O369" s="82" t="s">
        <v>1290</v>
      </c>
      <c r="P369" s="82">
        <v>19709</v>
      </c>
      <c r="R369" s="82" t="s">
        <v>2811</v>
      </c>
      <c r="S369" s="82" t="s">
        <v>2812</v>
      </c>
      <c r="T369" s="82" t="s">
        <v>1269</v>
      </c>
      <c r="U369" s="97">
        <v>2015</v>
      </c>
      <c r="V369" s="98">
        <v>42108</v>
      </c>
      <c r="W369" s="97" t="s">
        <v>1292</v>
      </c>
      <c r="X369" s="97"/>
      <c r="Y369" s="102"/>
      <c r="Z369" s="102"/>
    </row>
    <row r="370" spans="1:26" s="82" customFormat="1" ht="45" x14ac:dyDescent="0.2">
      <c r="A370" s="82" t="s">
        <v>2813</v>
      </c>
      <c r="B370" s="82" t="s">
        <v>2814</v>
      </c>
      <c r="C370" s="82" t="str">
        <f t="shared" si="12"/>
        <v>NCC-211  - Iron Hill School #112-C</v>
      </c>
      <c r="D370" s="96" t="s">
        <v>1557</v>
      </c>
      <c r="E370" s="96" t="s">
        <v>29</v>
      </c>
      <c r="F370" s="97" t="s">
        <v>276</v>
      </c>
      <c r="G370" s="97" t="s">
        <v>293</v>
      </c>
      <c r="H370" s="115" t="s">
        <v>1018</v>
      </c>
      <c r="I370" s="99" t="s">
        <v>2815</v>
      </c>
      <c r="J370" s="95">
        <v>11</v>
      </c>
      <c r="K370" s="95">
        <v>25</v>
      </c>
      <c r="L370" s="100" t="s">
        <v>2816</v>
      </c>
      <c r="M370" s="100" t="s">
        <v>2817</v>
      </c>
      <c r="N370" s="101" t="s">
        <v>2818</v>
      </c>
      <c r="O370" s="82" t="s">
        <v>1428</v>
      </c>
      <c r="P370" s="82">
        <v>19702</v>
      </c>
      <c r="R370" s="82" t="s">
        <v>37</v>
      </c>
      <c r="T370" s="82" t="s">
        <v>1269</v>
      </c>
      <c r="U370" s="97">
        <v>2015</v>
      </c>
      <c r="V370" s="98">
        <v>42271</v>
      </c>
      <c r="W370" s="97" t="s">
        <v>1292</v>
      </c>
      <c r="X370" s="97"/>
      <c r="Y370" s="102" t="s">
        <v>2819</v>
      </c>
      <c r="Z370" s="148" t="s">
        <v>2820</v>
      </c>
    </row>
    <row r="371" spans="1:26" s="82" customFormat="1" ht="45" x14ac:dyDescent="0.25">
      <c r="A371" s="82" t="s">
        <v>2821</v>
      </c>
      <c r="B371" s="82" t="s">
        <v>2822</v>
      </c>
      <c r="C371" s="82" t="str">
        <f t="shared" si="12"/>
        <v>NCC-212  - William "Judy" Johnson Memorial Park</v>
      </c>
      <c r="D371" s="96" t="s">
        <v>2823</v>
      </c>
      <c r="E371" s="96" t="s">
        <v>29</v>
      </c>
      <c r="F371" s="97" t="s">
        <v>30</v>
      </c>
      <c r="G371" s="97" t="s">
        <v>293</v>
      </c>
      <c r="H371" s="96" t="s">
        <v>2824</v>
      </c>
      <c r="I371" s="99" t="s">
        <v>2471</v>
      </c>
      <c r="J371" s="95">
        <v>3</v>
      </c>
      <c r="K371" s="95">
        <v>3</v>
      </c>
      <c r="L371" s="100" t="s">
        <v>2825</v>
      </c>
      <c r="M371" s="100" t="s">
        <v>2826</v>
      </c>
      <c r="N371" s="101" t="s">
        <v>2827</v>
      </c>
      <c r="O371" s="82" t="s">
        <v>1205</v>
      </c>
      <c r="P371" s="82">
        <v>19805</v>
      </c>
      <c r="R371" s="82" t="s">
        <v>37</v>
      </c>
      <c r="T371" s="82" t="s">
        <v>1269</v>
      </c>
      <c r="U371" s="97">
        <v>2015</v>
      </c>
      <c r="V371" s="98">
        <v>42108</v>
      </c>
      <c r="W371" s="97" t="s">
        <v>1292</v>
      </c>
      <c r="X371" s="97"/>
      <c r="Y371" s="165" t="s">
        <v>2828</v>
      </c>
      <c r="Z371" s="102" t="s">
        <v>2829</v>
      </c>
    </row>
    <row r="372" spans="1:26" s="81" customFormat="1" ht="30" x14ac:dyDescent="0.25">
      <c r="A372" s="82" t="s">
        <v>2830</v>
      </c>
      <c r="B372" s="82" t="s">
        <v>2831</v>
      </c>
      <c r="C372" s="82" t="str">
        <f t="shared" si="12"/>
        <v>NCC-213  - Delaware State Hospital Cemetery</v>
      </c>
      <c r="D372" s="115">
        <v>44097</v>
      </c>
      <c r="E372" s="96" t="s">
        <v>29</v>
      </c>
      <c r="F372" s="97" t="s">
        <v>30</v>
      </c>
      <c r="G372" s="97"/>
      <c r="H372" s="96"/>
      <c r="I372" s="99" t="s">
        <v>2832</v>
      </c>
      <c r="J372" s="95">
        <v>3</v>
      </c>
      <c r="K372" s="95">
        <v>16</v>
      </c>
      <c r="L372" s="100" t="s">
        <v>2833</v>
      </c>
      <c r="M372" s="100" t="s">
        <v>2834</v>
      </c>
      <c r="N372" s="101" t="s">
        <v>2835</v>
      </c>
      <c r="O372" s="82" t="s">
        <v>1268</v>
      </c>
      <c r="P372" s="82">
        <v>19720</v>
      </c>
      <c r="Q372" s="82"/>
      <c r="R372" s="82" t="s">
        <v>37</v>
      </c>
      <c r="S372" s="82"/>
      <c r="T372" s="82" t="s">
        <v>1269</v>
      </c>
      <c r="U372" s="97">
        <v>2016</v>
      </c>
      <c r="V372" s="98">
        <v>42495</v>
      </c>
      <c r="W372" s="97" t="s">
        <v>1292</v>
      </c>
      <c r="X372" s="97"/>
      <c r="Y372" s="102"/>
      <c r="Z372" s="102"/>
    </row>
    <row r="373" spans="1:26" s="82" customFormat="1" ht="45" x14ac:dyDescent="0.25">
      <c r="A373" s="82" t="s">
        <v>2836</v>
      </c>
      <c r="B373" s="82" t="s">
        <v>2837</v>
      </c>
      <c r="C373" s="82" t="str">
        <f t="shared" si="12"/>
        <v>NCC-214  - Union Lodge No. 5, A.F. &amp; A. M.</v>
      </c>
      <c r="D373" s="96" t="s">
        <v>2741</v>
      </c>
      <c r="E373" s="96" t="s">
        <v>29</v>
      </c>
      <c r="F373" s="97" t="s">
        <v>42</v>
      </c>
      <c r="G373" s="97"/>
      <c r="H373" s="96" t="s">
        <v>493</v>
      </c>
      <c r="I373" s="99" t="s">
        <v>2807</v>
      </c>
      <c r="J373" s="95">
        <v>10</v>
      </c>
      <c r="K373" s="95">
        <v>8</v>
      </c>
      <c r="L373" s="100" t="s">
        <v>2838</v>
      </c>
      <c r="M373" s="100" t="s">
        <v>2839</v>
      </c>
      <c r="N373" s="101" t="s">
        <v>2840</v>
      </c>
      <c r="O373" s="82" t="s">
        <v>1290</v>
      </c>
      <c r="P373" s="82">
        <v>19709</v>
      </c>
      <c r="R373" s="82" t="s">
        <v>37</v>
      </c>
      <c r="T373" s="82" t="s">
        <v>1269</v>
      </c>
      <c r="U373" s="97">
        <v>2015</v>
      </c>
      <c r="V373" s="98">
        <v>42180</v>
      </c>
      <c r="W373" s="97" t="s">
        <v>1292</v>
      </c>
      <c r="X373" s="97"/>
      <c r="Y373" s="102" t="s">
        <v>2841</v>
      </c>
      <c r="Z373" s="102" t="s">
        <v>2842</v>
      </c>
    </row>
    <row r="374" spans="1:26" s="82" customFormat="1" ht="60" x14ac:dyDescent="0.25">
      <c r="A374" s="82" t="s">
        <v>2843</v>
      </c>
      <c r="B374" s="82" t="s">
        <v>2844</v>
      </c>
      <c r="C374" s="82" t="str">
        <f t="shared" si="12"/>
        <v>NCC-215  - Walnut Street YMCA</v>
      </c>
      <c r="D374" s="96" t="s">
        <v>2321</v>
      </c>
      <c r="E374" s="96" t="s">
        <v>29</v>
      </c>
      <c r="F374" s="97" t="s">
        <v>30</v>
      </c>
      <c r="G374" s="97" t="s">
        <v>293</v>
      </c>
      <c r="H374" s="96"/>
      <c r="I374" s="99" t="s">
        <v>566</v>
      </c>
      <c r="J374" s="95">
        <v>3</v>
      </c>
      <c r="K374" s="95">
        <v>2</v>
      </c>
      <c r="L374" s="100" t="s">
        <v>2845</v>
      </c>
      <c r="M374" s="100" t="s">
        <v>2846</v>
      </c>
      <c r="N374" s="101" t="s">
        <v>2847</v>
      </c>
      <c r="O374" s="82" t="s">
        <v>1205</v>
      </c>
      <c r="P374" s="82">
        <v>19801</v>
      </c>
      <c r="R374" s="82" t="s">
        <v>37</v>
      </c>
      <c r="S374" s="82" t="s">
        <v>2848</v>
      </c>
      <c r="T374" s="82" t="s">
        <v>38</v>
      </c>
      <c r="U374" s="97">
        <v>2015</v>
      </c>
      <c r="V374" s="98">
        <v>42268</v>
      </c>
      <c r="W374" s="97" t="s">
        <v>1292</v>
      </c>
      <c r="X374" s="97">
        <v>2019</v>
      </c>
      <c r="Y374" s="102"/>
      <c r="Z374" s="102"/>
    </row>
    <row r="375" spans="1:26" s="82" customFormat="1" ht="45" x14ac:dyDescent="0.25">
      <c r="A375" s="82" t="s">
        <v>2849</v>
      </c>
      <c r="B375" s="82" t="s">
        <v>2850</v>
      </c>
      <c r="C375" s="82" t="str">
        <f t="shared" si="12"/>
        <v>NCC-216  - One Love Park</v>
      </c>
      <c r="D375" s="96" t="s">
        <v>2851</v>
      </c>
      <c r="E375" s="96" t="s">
        <v>29</v>
      </c>
      <c r="F375" s="97" t="s">
        <v>30</v>
      </c>
      <c r="G375" s="97" t="s">
        <v>293</v>
      </c>
      <c r="H375" s="96" t="s">
        <v>165</v>
      </c>
      <c r="I375" s="99" t="s">
        <v>566</v>
      </c>
      <c r="J375" s="95">
        <v>2</v>
      </c>
      <c r="K375" s="95">
        <v>1</v>
      </c>
      <c r="L375" s="100" t="s">
        <v>2852</v>
      </c>
      <c r="M375" s="100" t="s">
        <v>2853</v>
      </c>
      <c r="N375" s="101" t="s">
        <v>2854</v>
      </c>
      <c r="O375" s="82" t="s">
        <v>1205</v>
      </c>
      <c r="P375" s="82">
        <v>19802</v>
      </c>
      <c r="Q375" s="82" t="s">
        <v>2855</v>
      </c>
      <c r="R375" s="82" t="s">
        <v>37</v>
      </c>
      <c r="T375" s="82" t="s">
        <v>38</v>
      </c>
      <c r="U375" s="97">
        <v>2015</v>
      </c>
      <c r="V375" s="98">
        <v>42236</v>
      </c>
      <c r="W375" s="97" t="s">
        <v>1292</v>
      </c>
      <c r="X375" s="97"/>
      <c r="Y375" s="189" t="s">
        <v>2856</v>
      </c>
      <c r="Z375" s="102" t="s">
        <v>2857</v>
      </c>
    </row>
    <row r="376" spans="1:26" s="82" customFormat="1" ht="45" x14ac:dyDescent="0.25">
      <c r="A376" s="82" t="s">
        <v>2858</v>
      </c>
      <c r="B376" s="82" t="s">
        <v>2430</v>
      </c>
      <c r="C376" s="82" t="str">
        <f t="shared" si="12"/>
        <v>NCC-217  - Mount Salem United Methodist Church</v>
      </c>
      <c r="D376" s="96" t="s">
        <v>2859</v>
      </c>
      <c r="E376" s="96" t="s">
        <v>29</v>
      </c>
      <c r="F376" s="97" t="s">
        <v>191</v>
      </c>
      <c r="G376" s="97" t="s">
        <v>293</v>
      </c>
      <c r="H376" s="96" t="s">
        <v>656</v>
      </c>
      <c r="I376" s="99" t="s">
        <v>566</v>
      </c>
      <c r="J376" s="95">
        <v>12</v>
      </c>
      <c r="K376" s="95">
        <v>16</v>
      </c>
      <c r="L376" s="100" t="s">
        <v>2860</v>
      </c>
      <c r="M376" s="100" t="s">
        <v>2861</v>
      </c>
      <c r="N376" s="101" t="s">
        <v>2862</v>
      </c>
      <c r="O376" s="82" t="s">
        <v>1268</v>
      </c>
      <c r="P376" s="82">
        <v>19720</v>
      </c>
      <c r="R376" s="82" t="s">
        <v>37</v>
      </c>
      <c r="S376" s="82" t="s">
        <v>2863</v>
      </c>
      <c r="T376" s="82" t="s">
        <v>38</v>
      </c>
      <c r="U376" s="97">
        <v>2015</v>
      </c>
      <c r="V376" s="98">
        <v>42341</v>
      </c>
      <c r="W376" s="97" t="s">
        <v>1292</v>
      </c>
      <c r="X376" s="97"/>
      <c r="Y376" s="102" t="s">
        <v>2864</v>
      </c>
      <c r="Z376" s="102" t="s">
        <v>2865</v>
      </c>
    </row>
    <row r="377" spans="1:26" s="82" customFormat="1" ht="45" x14ac:dyDescent="0.25">
      <c r="A377" s="82" t="s">
        <v>2866</v>
      </c>
      <c r="B377" s="82" t="s">
        <v>2867</v>
      </c>
      <c r="C377" s="82" t="str">
        <f t="shared" si="12"/>
        <v>NCC-218  - St. John the Evangelist Church (Hockessin)</v>
      </c>
      <c r="D377" s="96" t="s">
        <v>1396</v>
      </c>
      <c r="E377" s="96" t="s">
        <v>29</v>
      </c>
      <c r="F377" s="97" t="s">
        <v>191</v>
      </c>
      <c r="G377" s="97"/>
      <c r="H377" s="96"/>
      <c r="I377" s="99" t="s">
        <v>2868</v>
      </c>
      <c r="J377" s="95">
        <v>4</v>
      </c>
      <c r="K377" s="95">
        <v>22</v>
      </c>
      <c r="L377" s="100" t="s">
        <v>2869</v>
      </c>
      <c r="M377" s="100" t="s">
        <v>2870</v>
      </c>
      <c r="N377" s="101" t="s">
        <v>2871</v>
      </c>
      <c r="O377" s="82" t="s">
        <v>1399</v>
      </c>
      <c r="P377" s="82">
        <v>19707</v>
      </c>
      <c r="R377" s="82" t="s">
        <v>37</v>
      </c>
      <c r="T377" s="82" t="s">
        <v>38</v>
      </c>
      <c r="U377" s="97">
        <v>2015</v>
      </c>
      <c r="V377" s="98">
        <v>42265</v>
      </c>
      <c r="W377" s="97" t="s">
        <v>1292</v>
      </c>
      <c r="X377" s="97"/>
      <c r="Y377" s="102" t="s">
        <v>2872</v>
      </c>
      <c r="Z377" s="102" t="s">
        <v>2873</v>
      </c>
    </row>
    <row r="378" spans="1:26" s="82" customFormat="1" ht="45" x14ac:dyDescent="0.25">
      <c r="A378" s="82" t="s">
        <v>2874</v>
      </c>
      <c r="B378" s="82" t="s">
        <v>2875</v>
      </c>
      <c r="C378" s="82" t="str">
        <f t="shared" si="12"/>
        <v>NCC-219  - James Henry "Nip" Winters</v>
      </c>
      <c r="D378" s="96" t="s">
        <v>2876</v>
      </c>
      <c r="E378" s="96" t="s">
        <v>29</v>
      </c>
      <c r="F378" s="97" t="s">
        <v>62</v>
      </c>
      <c r="G378" s="97" t="s">
        <v>293</v>
      </c>
      <c r="H378" s="96"/>
      <c r="I378" s="99" t="s">
        <v>2877</v>
      </c>
      <c r="J378" s="95">
        <v>4</v>
      </c>
      <c r="K378" s="95">
        <v>22</v>
      </c>
      <c r="L378" s="100" t="s">
        <v>2878</v>
      </c>
      <c r="M378" s="100" t="s">
        <v>2879</v>
      </c>
      <c r="N378" s="101" t="s">
        <v>2880</v>
      </c>
      <c r="O378" s="82" t="s">
        <v>1399</v>
      </c>
      <c r="P378" s="82">
        <v>19707</v>
      </c>
      <c r="R378" s="82" t="s">
        <v>37</v>
      </c>
      <c r="T378" s="82" t="s">
        <v>38</v>
      </c>
      <c r="U378" s="97">
        <v>2015</v>
      </c>
      <c r="V378" s="98">
        <v>42341</v>
      </c>
      <c r="W378" s="97" t="s">
        <v>1292</v>
      </c>
      <c r="X378" s="97"/>
      <c r="Y378" s="102" t="s">
        <v>2881</v>
      </c>
      <c r="Z378" s="102" t="s">
        <v>2882</v>
      </c>
    </row>
    <row r="379" spans="1:26" s="82" customFormat="1" ht="45" x14ac:dyDescent="0.25">
      <c r="A379" s="82" t="s">
        <v>2883</v>
      </c>
      <c r="B379" s="82" t="s">
        <v>2884</v>
      </c>
      <c r="C379" s="82" t="str">
        <f t="shared" si="12"/>
        <v>NCC-220  - Scott Church</v>
      </c>
      <c r="D379" s="96" t="s">
        <v>2885</v>
      </c>
      <c r="E379" s="96" t="s">
        <v>29</v>
      </c>
      <c r="F379" s="97" t="s">
        <v>191</v>
      </c>
      <c r="G379" s="97"/>
      <c r="H379" s="96" t="s">
        <v>247</v>
      </c>
      <c r="I379" s="99" t="s">
        <v>2886</v>
      </c>
      <c r="J379" s="95">
        <v>14</v>
      </c>
      <c r="K379" s="95">
        <v>11</v>
      </c>
      <c r="L379" s="100" t="s">
        <v>2887</v>
      </c>
      <c r="M379" s="100" t="s">
        <v>2888</v>
      </c>
      <c r="N379" s="101" t="s">
        <v>2889</v>
      </c>
      <c r="O379" s="82" t="s">
        <v>1515</v>
      </c>
      <c r="P379" s="82">
        <v>19734</v>
      </c>
      <c r="R379" s="82" t="s">
        <v>37</v>
      </c>
      <c r="T379" s="82" t="s">
        <v>38</v>
      </c>
      <c r="U379" s="97">
        <v>2015</v>
      </c>
      <c r="V379" s="98">
        <v>42341</v>
      </c>
      <c r="W379" s="97" t="s">
        <v>1292</v>
      </c>
      <c r="X379" s="97"/>
      <c r="Y379" s="102" t="s">
        <v>2890</v>
      </c>
      <c r="Z379" s="102" t="s">
        <v>2891</v>
      </c>
    </row>
    <row r="380" spans="1:26" s="82" customFormat="1" ht="45" x14ac:dyDescent="0.25">
      <c r="A380" s="82" t="s">
        <v>2892</v>
      </c>
      <c r="B380" s="82" t="s">
        <v>2893</v>
      </c>
      <c r="C380" s="82" t="str">
        <f t="shared" si="12"/>
        <v>NCC-221  - Mt. Zion Union American Methodist Episcopal Church</v>
      </c>
      <c r="D380" s="96" t="s">
        <v>2894</v>
      </c>
      <c r="E380" s="96" t="s">
        <v>29</v>
      </c>
      <c r="F380" s="97" t="s">
        <v>191</v>
      </c>
      <c r="G380" s="97" t="s">
        <v>293</v>
      </c>
      <c r="H380" s="96"/>
      <c r="I380" s="99" t="s">
        <v>2895</v>
      </c>
      <c r="J380" s="95">
        <v>8</v>
      </c>
      <c r="K380" s="95">
        <v>23</v>
      </c>
      <c r="L380" s="100" t="s">
        <v>2896</v>
      </c>
      <c r="M380" s="100" t="s">
        <v>2897</v>
      </c>
      <c r="N380" s="101" t="s">
        <v>2898</v>
      </c>
      <c r="O380" s="82" t="s">
        <v>1428</v>
      </c>
      <c r="P380" s="82">
        <v>19711</v>
      </c>
      <c r="R380" s="82" t="s">
        <v>37</v>
      </c>
      <c r="T380" s="82" t="s">
        <v>38</v>
      </c>
      <c r="U380" s="97">
        <v>2017</v>
      </c>
      <c r="V380" s="98">
        <v>42887</v>
      </c>
      <c r="W380" s="97" t="s">
        <v>1292</v>
      </c>
      <c r="X380" s="97"/>
      <c r="Y380" s="102"/>
      <c r="Z380" s="102"/>
    </row>
    <row r="381" spans="1:26" s="82" customFormat="1" ht="45" x14ac:dyDescent="0.25">
      <c r="A381" s="82" t="s">
        <v>2899</v>
      </c>
      <c r="B381" s="82" t="s">
        <v>2900</v>
      </c>
      <c r="C381" s="82" t="str">
        <f t="shared" si="12"/>
        <v>NCC-222  - St. Joseph’s on the Brandywine</v>
      </c>
      <c r="D381" s="115" t="s">
        <v>2901</v>
      </c>
      <c r="E381" s="96" t="s">
        <v>29</v>
      </c>
      <c r="F381" s="97" t="s">
        <v>191</v>
      </c>
      <c r="G381" s="97"/>
      <c r="H381" s="96"/>
      <c r="I381" s="99" t="s">
        <v>2902</v>
      </c>
      <c r="J381" s="95">
        <v>6</v>
      </c>
      <c r="K381" s="95">
        <v>12</v>
      </c>
      <c r="L381" s="100" t="s">
        <v>2903</v>
      </c>
      <c r="M381" s="100" t="s">
        <v>2904</v>
      </c>
      <c r="N381" s="101" t="s">
        <v>2905</v>
      </c>
      <c r="O381" s="82" t="s">
        <v>1741</v>
      </c>
      <c r="P381" s="82">
        <v>19807</v>
      </c>
      <c r="Q381" s="82" t="s">
        <v>2906</v>
      </c>
      <c r="R381" s="99" t="s">
        <v>2907</v>
      </c>
      <c r="S381" s="82" t="s">
        <v>2908</v>
      </c>
      <c r="T381" s="82" t="s">
        <v>38</v>
      </c>
      <c r="U381" s="97">
        <v>2016</v>
      </c>
      <c r="V381" s="98">
        <v>42488</v>
      </c>
      <c r="W381" s="97" t="s">
        <v>1292</v>
      </c>
      <c r="X381" s="97"/>
      <c r="Y381" s="190" t="s">
        <v>2909</v>
      </c>
      <c r="Z381" s="190" t="s">
        <v>2910</v>
      </c>
    </row>
    <row r="382" spans="1:26" s="82" customFormat="1" ht="51" x14ac:dyDescent="0.25">
      <c r="A382" s="82" t="s">
        <v>2911</v>
      </c>
      <c r="B382" s="82" t="s">
        <v>2912</v>
      </c>
      <c r="C382" s="82" t="str">
        <f t="shared" si="12"/>
        <v>NCC-223  - St. Michael's Day Nursery</v>
      </c>
      <c r="D382" s="96" t="s">
        <v>2913</v>
      </c>
      <c r="E382" s="96" t="s">
        <v>2914</v>
      </c>
      <c r="F382" s="97" t="s">
        <v>30</v>
      </c>
      <c r="G382" s="97"/>
      <c r="H382" s="96"/>
      <c r="I382" s="99" t="s">
        <v>2726</v>
      </c>
      <c r="J382" s="95">
        <v>3</v>
      </c>
      <c r="K382" s="95">
        <v>2</v>
      </c>
      <c r="L382" s="100" t="s">
        <v>2915</v>
      </c>
      <c r="M382" s="100" t="s">
        <v>2916</v>
      </c>
      <c r="N382" s="101" t="s">
        <v>2917</v>
      </c>
      <c r="O382" s="82" t="s">
        <v>1205</v>
      </c>
      <c r="P382" s="82">
        <v>19801</v>
      </c>
      <c r="R382" s="82" t="s">
        <v>37</v>
      </c>
      <c r="T382" s="82" t="s">
        <v>38</v>
      </c>
      <c r="U382" s="97">
        <v>2016</v>
      </c>
      <c r="V382" s="98">
        <v>42522</v>
      </c>
      <c r="W382" s="97" t="s">
        <v>1292</v>
      </c>
      <c r="X382" s="97"/>
      <c r="Y382" s="102" t="s">
        <v>2918</v>
      </c>
      <c r="Z382" s="102" t="s">
        <v>2919</v>
      </c>
    </row>
    <row r="383" spans="1:26" s="82" customFormat="1" ht="45" x14ac:dyDescent="0.2">
      <c r="A383" s="82" t="s">
        <v>2920</v>
      </c>
      <c r="B383" s="82" t="s">
        <v>2921</v>
      </c>
      <c r="C383" s="82" t="str">
        <f t="shared" si="12"/>
        <v>NCC-224  - Rockland Mill Village</v>
      </c>
      <c r="D383" s="96" t="s">
        <v>2922</v>
      </c>
      <c r="E383" s="96" t="s">
        <v>29</v>
      </c>
      <c r="F383" s="97" t="s">
        <v>30</v>
      </c>
      <c r="G383" s="97"/>
      <c r="H383" s="96" t="s">
        <v>450</v>
      </c>
      <c r="I383" s="99" t="s">
        <v>2923</v>
      </c>
      <c r="J383" s="95">
        <v>4</v>
      </c>
      <c r="K383" s="95">
        <v>12</v>
      </c>
      <c r="L383" s="100" t="s">
        <v>2924</v>
      </c>
      <c r="M383" s="100" t="s">
        <v>2925</v>
      </c>
      <c r="N383" s="101" t="s">
        <v>2926</v>
      </c>
      <c r="O383" s="82" t="s">
        <v>2927</v>
      </c>
      <c r="P383" s="82">
        <v>19732</v>
      </c>
      <c r="R383" s="82" t="s">
        <v>37</v>
      </c>
      <c r="T383" s="82" t="s">
        <v>38</v>
      </c>
      <c r="U383" s="97">
        <v>2016</v>
      </c>
      <c r="V383" s="98">
        <v>42694</v>
      </c>
      <c r="W383" s="97" t="s">
        <v>1292</v>
      </c>
      <c r="X383" s="97">
        <v>2018</v>
      </c>
      <c r="Y383" s="103" t="s">
        <v>2928</v>
      </c>
      <c r="Z383" s="148" t="s">
        <v>2929</v>
      </c>
    </row>
    <row r="384" spans="1:26" s="82" customFormat="1" ht="60" x14ac:dyDescent="0.25">
      <c r="A384" s="82" t="s">
        <v>2930</v>
      </c>
      <c r="B384" s="82" t="s">
        <v>2931</v>
      </c>
      <c r="C384" s="82" t="str">
        <f t="shared" si="12"/>
        <v>NCC-225  - Washington Street Bridge (Washington Memorial Bridge)</v>
      </c>
      <c r="D384" s="96" t="s">
        <v>2932</v>
      </c>
      <c r="E384" s="96" t="s">
        <v>29</v>
      </c>
      <c r="F384" s="97" t="s">
        <v>30</v>
      </c>
      <c r="G384" s="97"/>
      <c r="H384" s="96" t="s">
        <v>642</v>
      </c>
      <c r="I384" s="99" t="s">
        <v>2488</v>
      </c>
      <c r="J384" s="95">
        <v>1</v>
      </c>
      <c r="K384" s="95">
        <v>1</v>
      </c>
      <c r="L384" s="100" t="s">
        <v>2933</v>
      </c>
      <c r="M384" s="100" t="s">
        <v>2934</v>
      </c>
      <c r="N384" s="101" t="s">
        <v>2935</v>
      </c>
      <c r="O384" s="82" t="s">
        <v>1205</v>
      </c>
      <c r="P384" s="82">
        <v>19802</v>
      </c>
      <c r="R384" s="82" t="s">
        <v>37</v>
      </c>
      <c r="S384" s="82" t="s">
        <v>2936</v>
      </c>
      <c r="T384" s="82" t="s">
        <v>38</v>
      </c>
      <c r="U384" s="97">
        <v>2017</v>
      </c>
      <c r="V384" s="98">
        <v>42875</v>
      </c>
      <c r="W384" s="97" t="s">
        <v>1292</v>
      </c>
      <c r="X384" s="97"/>
      <c r="Y384" s="102" t="s">
        <v>2937</v>
      </c>
      <c r="Z384" s="102" t="s">
        <v>2938</v>
      </c>
    </row>
    <row r="385" spans="1:26" s="82" customFormat="1" ht="120" x14ac:dyDescent="0.25">
      <c r="A385" s="82" t="s">
        <v>2939</v>
      </c>
      <c r="B385" s="82" t="s">
        <v>2940</v>
      </c>
      <c r="C385" s="82" t="str">
        <f t="shared" si="12"/>
        <v>NCC-226  - Rodney Square</v>
      </c>
      <c r="D385" s="96" t="s">
        <v>2941</v>
      </c>
      <c r="E385" s="96" t="s">
        <v>29</v>
      </c>
      <c r="F385" s="97" t="s">
        <v>30</v>
      </c>
      <c r="G385" s="97"/>
      <c r="H385" s="96" t="s">
        <v>2942</v>
      </c>
      <c r="I385" s="99" t="s">
        <v>2726</v>
      </c>
      <c r="J385" s="95">
        <v>3</v>
      </c>
      <c r="K385" s="95">
        <v>2</v>
      </c>
      <c r="L385" s="100" t="s">
        <v>2943</v>
      </c>
      <c r="M385" s="100" t="s">
        <v>2944</v>
      </c>
      <c r="N385" s="101" t="s">
        <v>2945</v>
      </c>
      <c r="O385" s="82" t="s">
        <v>1205</v>
      </c>
      <c r="P385" s="82">
        <v>19801</v>
      </c>
      <c r="R385" s="82" t="s">
        <v>37</v>
      </c>
      <c r="S385" s="82" t="s">
        <v>2946</v>
      </c>
      <c r="T385" s="82" t="s">
        <v>38</v>
      </c>
      <c r="U385" s="97">
        <v>2017</v>
      </c>
      <c r="V385" s="98">
        <v>42865</v>
      </c>
      <c r="W385" s="97" t="s">
        <v>1292</v>
      </c>
      <c r="X385" s="97">
        <v>2021</v>
      </c>
      <c r="Y385" s="114" t="s">
        <v>2947</v>
      </c>
      <c r="Z385" s="114" t="s">
        <v>2948</v>
      </c>
    </row>
    <row r="386" spans="1:26" s="82" customFormat="1" ht="45" x14ac:dyDescent="0.25">
      <c r="A386" s="82" t="s">
        <v>2949</v>
      </c>
      <c r="B386" s="82" t="s">
        <v>2950</v>
      </c>
      <c r="C386" s="82" t="str">
        <f t="shared" si="12"/>
        <v>NCC-227  - Fort DuPont</v>
      </c>
      <c r="D386" s="96" t="s">
        <v>2951</v>
      </c>
      <c r="E386" s="96" t="s">
        <v>29</v>
      </c>
      <c r="F386" s="97" t="s">
        <v>30</v>
      </c>
      <c r="G386" s="97"/>
      <c r="H386" s="96"/>
      <c r="I386" s="99" t="s">
        <v>2952</v>
      </c>
      <c r="J386" s="95">
        <v>12</v>
      </c>
      <c r="K386" s="95">
        <v>17</v>
      </c>
      <c r="L386" s="100" t="s">
        <v>2953</v>
      </c>
      <c r="M386" s="100" t="s">
        <v>2954</v>
      </c>
      <c r="N386" s="101" t="s">
        <v>2955</v>
      </c>
      <c r="O386" s="82" t="s">
        <v>1911</v>
      </c>
      <c r="P386" s="82">
        <v>19706</v>
      </c>
      <c r="R386" s="82" t="s">
        <v>37</v>
      </c>
      <c r="S386" s="82" t="s">
        <v>2956</v>
      </c>
      <c r="T386" s="82" t="s">
        <v>38</v>
      </c>
      <c r="U386" s="97">
        <v>2016</v>
      </c>
      <c r="V386" s="98">
        <v>42683</v>
      </c>
      <c r="W386" s="97" t="s">
        <v>1292</v>
      </c>
      <c r="X386" s="97"/>
      <c r="Y386" s="102" t="s">
        <v>2957</v>
      </c>
      <c r="Z386" s="102" t="s">
        <v>2958</v>
      </c>
    </row>
    <row r="387" spans="1:26" s="82" customFormat="1" ht="45" x14ac:dyDescent="0.25">
      <c r="A387" s="82" t="s">
        <v>2959</v>
      </c>
      <c r="B387" s="82" t="s">
        <v>2960</v>
      </c>
      <c r="C387" s="82" t="str">
        <f t="shared" si="12"/>
        <v>NCC-228  - The Daniel Nichols House</v>
      </c>
      <c r="D387" s="96" t="s">
        <v>1396</v>
      </c>
      <c r="E387" s="96" t="s">
        <v>29</v>
      </c>
      <c r="F387" s="97" t="s">
        <v>30</v>
      </c>
      <c r="G387" s="97" t="s">
        <v>1154</v>
      </c>
      <c r="H387" s="96" t="s">
        <v>2824</v>
      </c>
      <c r="I387" s="99" t="s">
        <v>2961</v>
      </c>
      <c r="J387" s="95">
        <v>4</v>
      </c>
      <c r="K387" s="95">
        <v>22</v>
      </c>
      <c r="L387" s="100" t="s">
        <v>2962</v>
      </c>
      <c r="M387" s="100" t="s">
        <v>2963</v>
      </c>
      <c r="N387" s="101" t="s">
        <v>2964</v>
      </c>
      <c r="O387" s="82" t="s">
        <v>1399</v>
      </c>
      <c r="P387" s="82">
        <v>19707</v>
      </c>
      <c r="R387" s="82" t="s">
        <v>37</v>
      </c>
      <c r="T387" s="82" t="s">
        <v>38</v>
      </c>
      <c r="U387" s="97">
        <v>2017</v>
      </c>
      <c r="V387" s="98">
        <v>42914</v>
      </c>
      <c r="W387" s="97" t="s">
        <v>1292</v>
      </c>
      <c r="X387" s="97"/>
      <c r="Y387" s="165" t="s">
        <v>2965</v>
      </c>
      <c r="Z387" s="102" t="s">
        <v>2966</v>
      </c>
    </row>
    <row r="388" spans="1:26" s="82" customFormat="1" ht="30" x14ac:dyDescent="0.25">
      <c r="A388" s="82" t="s">
        <v>2967</v>
      </c>
      <c r="B388" s="82" t="s">
        <v>2968</v>
      </c>
      <c r="C388" s="82" t="str">
        <f t="shared" si="12"/>
        <v>NCC-229  - African Union Church Cemetery</v>
      </c>
      <c r="D388" s="96" t="s">
        <v>2168</v>
      </c>
      <c r="E388" s="96" t="s">
        <v>29</v>
      </c>
      <c r="F388" s="97" t="s">
        <v>30</v>
      </c>
      <c r="G388" s="97" t="s">
        <v>293</v>
      </c>
      <c r="H388" s="96"/>
      <c r="I388" s="99" t="s">
        <v>2952</v>
      </c>
      <c r="J388" s="95">
        <v>12</v>
      </c>
      <c r="K388" s="95">
        <v>17</v>
      </c>
      <c r="L388" s="100" t="s">
        <v>2969</v>
      </c>
      <c r="M388" s="100" t="s">
        <v>2970</v>
      </c>
      <c r="N388" s="101" t="s">
        <v>2971</v>
      </c>
      <c r="O388" s="82" t="s">
        <v>1911</v>
      </c>
      <c r="P388" s="82">
        <v>19706</v>
      </c>
      <c r="R388" s="82" t="s">
        <v>37</v>
      </c>
      <c r="S388" s="82" t="s">
        <v>2972</v>
      </c>
      <c r="T388" s="82" t="s">
        <v>38</v>
      </c>
      <c r="U388" s="97">
        <v>2018</v>
      </c>
      <c r="V388" s="98">
        <v>43329</v>
      </c>
      <c r="W388" s="97" t="s">
        <v>1292</v>
      </c>
      <c r="X388" s="97"/>
      <c r="Y388" s="102"/>
      <c r="Z388" s="102"/>
    </row>
    <row r="389" spans="1:26" s="82" customFormat="1" ht="41.45" customHeight="1" x14ac:dyDescent="0.25">
      <c r="A389" s="82" t="s">
        <v>2973</v>
      </c>
      <c r="B389" s="82" t="s">
        <v>2974</v>
      </c>
      <c r="C389" s="82" t="str">
        <f t="shared" si="12"/>
        <v>NCC-230  - The Collins Park Bombings</v>
      </c>
      <c r="D389" s="96" t="s">
        <v>1985</v>
      </c>
      <c r="E389" s="96" t="s">
        <v>29</v>
      </c>
      <c r="F389" s="97" t="s">
        <v>1175</v>
      </c>
      <c r="G389" s="97" t="s">
        <v>293</v>
      </c>
      <c r="H389" s="96"/>
      <c r="I389" s="99" t="s">
        <v>566</v>
      </c>
      <c r="J389" s="95">
        <v>2</v>
      </c>
      <c r="K389" s="95">
        <v>16</v>
      </c>
      <c r="L389" s="100" t="s">
        <v>2975</v>
      </c>
      <c r="M389" s="100" t="s">
        <v>2976</v>
      </c>
      <c r="N389" s="101" t="s">
        <v>2977</v>
      </c>
      <c r="O389" s="82" t="s">
        <v>1268</v>
      </c>
      <c r="P389" s="82">
        <v>19270</v>
      </c>
      <c r="R389" s="82" t="s">
        <v>37</v>
      </c>
      <c r="S389" s="82" t="s">
        <v>2978</v>
      </c>
      <c r="T389" s="82" t="s">
        <v>38</v>
      </c>
      <c r="U389" s="97">
        <v>2017</v>
      </c>
      <c r="V389" s="98">
        <v>42994</v>
      </c>
      <c r="W389" s="97" t="s">
        <v>1292</v>
      </c>
      <c r="X389" s="97"/>
      <c r="Y389" s="102"/>
      <c r="Z389" s="102"/>
    </row>
    <row r="390" spans="1:26" s="82" customFormat="1" ht="45" x14ac:dyDescent="0.25">
      <c r="A390" s="82" t="s">
        <v>2979</v>
      </c>
      <c r="B390" s="82" t="s">
        <v>2980</v>
      </c>
      <c r="C390" s="82" t="str">
        <f t="shared" si="12"/>
        <v>NCC-231  - The Last Mustering of the Delaware Continentals</v>
      </c>
      <c r="D390" s="96" t="s">
        <v>1539</v>
      </c>
      <c r="E390" s="96" t="s">
        <v>29</v>
      </c>
      <c r="F390" s="97" t="s">
        <v>42</v>
      </c>
      <c r="G390" s="97"/>
      <c r="H390" s="96"/>
      <c r="I390" s="99" t="s">
        <v>2981</v>
      </c>
      <c r="J390" s="95">
        <v>9</v>
      </c>
      <c r="K390" s="95">
        <v>18</v>
      </c>
      <c r="L390" s="100" t="s">
        <v>2982</v>
      </c>
      <c r="M390" s="100" t="s">
        <v>2983</v>
      </c>
      <c r="N390" s="101" t="s">
        <v>2984</v>
      </c>
      <c r="O390" s="82" t="s">
        <v>1428</v>
      </c>
      <c r="P390" s="82">
        <v>19713</v>
      </c>
      <c r="R390" s="82" t="s">
        <v>37</v>
      </c>
      <c r="T390" s="82" t="s">
        <v>38</v>
      </c>
      <c r="U390" s="97">
        <v>2017</v>
      </c>
      <c r="V390" s="98">
        <v>43043</v>
      </c>
      <c r="W390" s="97" t="s">
        <v>1292</v>
      </c>
      <c r="X390" s="97"/>
      <c r="Y390" s="102" t="s">
        <v>2985</v>
      </c>
      <c r="Z390" s="102" t="s">
        <v>2986</v>
      </c>
    </row>
    <row r="391" spans="1:26" s="82" customFormat="1" ht="57" x14ac:dyDescent="0.25">
      <c r="A391" s="82" t="s">
        <v>2987</v>
      </c>
      <c r="B391" s="82" t="s">
        <v>2988</v>
      </c>
      <c r="C391" s="82" t="str">
        <f t="shared" si="12"/>
        <v>NCC-232  - Original Site of the White Clay Creek Presbyterian Church</v>
      </c>
      <c r="D391" s="96" t="s">
        <v>2676</v>
      </c>
      <c r="E391" s="96" t="s">
        <v>29</v>
      </c>
      <c r="F391" s="97" t="s">
        <v>191</v>
      </c>
      <c r="G391" s="97"/>
      <c r="H391" s="96"/>
      <c r="I391" s="99" t="s">
        <v>2989</v>
      </c>
      <c r="J391" s="95">
        <v>9</v>
      </c>
      <c r="K391" s="95">
        <v>21</v>
      </c>
      <c r="L391" s="100" t="s">
        <v>2990</v>
      </c>
      <c r="M391" s="100" t="s">
        <v>2991</v>
      </c>
      <c r="N391" s="101" t="s">
        <v>2992</v>
      </c>
      <c r="O391" s="82" t="s">
        <v>1428</v>
      </c>
      <c r="P391" s="82">
        <v>19711</v>
      </c>
      <c r="R391" s="82" t="s">
        <v>37</v>
      </c>
      <c r="S391" s="82" t="s">
        <v>2993</v>
      </c>
      <c r="T391" s="82" t="s">
        <v>38</v>
      </c>
      <c r="U391" s="97">
        <v>2017</v>
      </c>
      <c r="V391" s="98">
        <v>42993</v>
      </c>
      <c r="W391" s="97" t="s">
        <v>1292</v>
      </c>
      <c r="X391" s="98">
        <v>44334</v>
      </c>
      <c r="Y391" s="102" t="s">
        <v>2994</v>
      </c>
      <c r="Z391" s="114" t="s">
        <v>2995</v>
      </c>
    </row>
    <row r="392" spans="1:26" s="82" customFormat="1" ht="45" x14ac:dyDescent="0.25">
      <c r="A392" s="82" t="s">
        <v>2996</v>
      </c>
      <c r="B392" s="82" t="s">
        <v>2997</v>
      </c>
      <c r="C392" s="82" t="str">
        <f t="shared" si="12"/>
        <v>NCC-233  - Fells Mill Historic District</v>
      </c>
      <c r="D392" s="96" t="s">
        <v>2998</v>
      </c>
      <c r="E392" s="96" t="s">
        <v>29</v>
      </c>
      <c r="F392" s="97" t="s">
        <v>30</v>
      </c>
      <c r="G392" s="97"/>
      <c r="H392" s="96" t="s">
        <v>2999</v>
      </c>
      <c r="I392" s="99" t="s">
        <v>3000</v>
      </c>
      <c r="J392" s="95">
        <v>7</v>
      </c>
      <c r="K392" s="95">
        <v>19</v>
      </c>
      <c r="L392" s="100" t="s">
        <v>3001</v>
      </c>
      <c r="M392" s="100" t="s">
        <v>3002</v>
      </c>
      <c r="N392" s="82" t="s">
        <v>3003</v>
      </c>
      <c r="O392" s="82" t="s">
        <v>1205</v>
      </c>
      <c r="P392" s="82">
        <v>19808</v>
      </c>
      <c r="R392" s="82" t="s">
        <v>37</v>
      </c>
      <c r="T392" s="82" t="s">
        <v>38</v>
      </c>
      <c r="U392" s="97">
        <v>2017</v>
      </c>
      <c r="V392" s="185" t="s">
        <v>3004</v>
      </c>
      <c r="W392" s="97" t="s">
        <v>1292</v>
      </c>
      <c r="X392" s="97"/>
      <c r="Y392" s="102" t="s">
        <v>3005</v>
      </c>
      <c r="Z392" s="102" t="s">
        <v>3006</v>
      </c>
    </row>
    <row r="393" spans="1:26" s="82" customFormat="1" ht="45" x14ac:dyDescent="0.25">
      <c r="A393" s="82" t="s">
        <v>3007</v>
      </c>
      <c r="B393" s="82" t="s">
        <v>3008</v>
      </c>
      <c r="C393" s="82" t="str">
        <f t="shared" si="12"/>
        <v>NCC-234  - The Tilton Mansion</v>
      </c>
      <c r="D393" s="96" t="s">
        <v>2096</v>
      </c>
      <c r="E393" s="96" t="s">
        <v>29</v>
      </c>
      <c r="F393" s="97" t="s">
        <v>30</v>
      </c>
      <c r="G393" s="97"/>
      <c r="H393" s="96" t="s">
        <v>744</v>
      </c>
      <c r="I393" s="99" t="s">
        <v>2781</v>
      </c>
      <c r="J393" s="95">
        <v>3</v>
      </c>
      <c r="K393" s="95">
        <v>3</v>
      </c>
      <c r="L393" s="100" t="s">
        <v>3009</v>
      </c>
      <c r="M393" s="100" t="s">
        <v>3010</v>
      </c>
      <c r="N393" s="101" t="s">
        <v>3011</v>
      </c>
      <c r="O393" s="82" t="s">
        <v>1205</v>
      </c>
      <c r="P393" s="82">
        <v>19805</v>
      </c>
      <c r="Q393" s="82" t="s">
        <v>3012</v>
      </c>
      <c r="R393" s="82" t="s">
        <v>37</v>
      </c>
      <c r="T393" s="82" t="s">
        <v>38</v>
      </c>
      <c r="U393" s="97">
        <v>2017</v>
      </c>
      <c r="V393" s="185" t="s">
        <v>3013</v>
      </c>
      <c r="W393" s="97" t="s">
        <v>1292</v>
      </c>
      <c r="X393" s="97"/>
      <c r="Y393" s="102" t="s">
        <v>3014</v>
      </c>
      <c r="Z393" s="102" t="s">
        <v>3015</v>
      </c>
    </row>
    <row r="394" spans="1:26" s="82" customFormat="1" ht="30" x14ac:dyDescent="0.25">
      <c r="A394" s="82" t="s">
        <v>3016</v>
      </c>
      <c r="B394" s="82" t="s">
        <v>3017</v>
      </c>
      <c r="C394" s="82" t="str">
        <f t="shared" si="12"/>
        <v>NCC-235  - The Ashton Tract</v>
      </c>
      <c r="D394" s="96" t="s">
        <v>3018</v>
      </c>
      <c r="E394" s="96" t="s">
        <v>29</v>
      </c>
      <c r="F394" s="97" t="s">
        <v>30</v>
      </c>
      <c r="G394" s="97"/>
      <c r="H394" s="96"/>
      <c r="I394" s="99" t="s">
        <v>3019</v>
      </c>
      <c r="J394" s="95">
        <v>12</v>
      </c>
      <c r="K394" s="95">
        <v>9</v>
      </c>
      <c r="L394" s="100" t="s">
        <v>3020</v>
      </c>
      <c r="M394" s="100" t="s">
        <v>3021</v>
      </c>
      <c r="N394" s="101" t="s">
        <v>3022</v>
      </c>
      <c r="O394" s="82" t="s">
        <v>1290</v>
      </c>
      <c r="P394" s="82">
        <v>19709</v>
      </c>
      <c r="R394" s="82" t="s">
        <v>37</v>
      </c>
      <c r="S394" s="82" t="s">
        <v>3023</v>
      </c>
      <c r="T394" s="82" t="s">
        <v>38</v>
      </c>
      <c r="U394" s="97">
        <v>2018</v>
      </c>
      <c r="V394" s="98">
        <v>43228</v>
      </c>
      <c r="W394" s="97" t="s">
        <v>1292</v>
      </c>
      <c r="X394" s="97"/>
      <c r="Y394" s="102"/>
      <c r="Z394" s="102"/>
    </row>
    <row r="395" spans="1:26" s="82" customFormat="1" ht="45" x14ac:dyDescent="0.25">
      <c r="A395" s="82" t="s">
        <v>3024</v>
      </c>
      <c r="B395" s="82" t="s">
        <v>3025</v>
      </c>
      <c r="C395" s="82" t="str">
        <f t="shared" si="12"/>
        <v>NCC-236  - Forty Acres</v>
      </c>
      <c r="D395" s="96" t="s">
        <v>3026</v>
      </c>
      <c r="E395" s="96" t="s">
        <v>29</v>
      </c>
      <c r="F395" s="97" t="s">
        <v>30</v>
      </c>
      <c r="G395" s="97"/>
      <c r="H395" s="96" t="s">
        <v>837</v>
      </c>
      <c r="I395" s="99" t="s">
        <v>3027</v>
      </c>
      <c r="J395" s="95">
        <v>1</v>
      </c>
      <c r="K395" s="95">
        <v>12</v>
      </c>
      <c r="L395" s="100" t="s">
        <v>3028</v>
      </c>
      <c r="M395" s="100" t="s">
        <v>3029</v>
      </c>
      <c r="N395" s="101" t="s">
        <v>3030</v>
      </c>
      <c r="O395" s="82" t="s">
        <v>1205</v>
      </c>
      <c r="P395" s="82">
        <v>19806</v>
      </c>
      <c r="R395" s="82" t="s">
        <v>37</v>
      </c>
      <c r="T395" s="82" t="s">
        <v>38</v>
      </c>
      <c r="U395" s="97">
        <v>2018</v>
      </c>
      <c r="V395" s="98">
        <v>43418</v>
      </c>
      <c r="W395" s="97" t="s">
        <v>1292</v>
      </c>
      <c r="X395" s="97"/>
      <c r="Y395" s="102" t="s">
        <v>3031</v>
      </c>
      <c r="Z395" s="102" t="s">
        <v>3032</v>
      </c>
    </row>
    <row r="396" spans="1:26" s="82" customFormat="1" ht="38.25" x14ac:dyDescent="0.25">
      <c r="A396" s="82" t="s">
        <v>3033</v>
      </c>
      <c r="B396" s="82" t="s">
        <v>3034</v>
      </c>
      <c r="C396" s="82" t="str">
        <f t="shared" si="12"/>
        <v>NCC-237  - Witherspoon Tavern</v>
      </c>
      <c r="D396" s="96" t="s">
        <v>3035</v>
      </c>
      <c r="E396" s="96" t="s">
        <v>29</v>
      </c>
      <c r="F396" s="97" t="s">
        <v>30</v>
      </c>
      <c r="G396" s="97"/>
      <c r="H396" s="96"/>
      <c r="I396" s="99"/>
      <c r="J396" s="95">
        <v>10</v>
      </c>
      <c r="K396" s="95">
        <v>8</v>
      </c>
      <c r="L396" s="100" t="s">
        <v>3036</v>
      </c>
      <c r="M396" s="100" t="s">
        <v>3037</v>
      </c>
      <c r="N396" s="101" t="s">
        <v>3038</v>
      </c>
      <c r="O396" s="82" t="s">
        <v>1290</v>
      </c>
      <c r="P396" s="82">
        <v>19709</v>
      </c>
      <c r="R396" s="82" t="s">
        <v>37</v>
      </c>
      <c r="T396" s="82" t="s">
        <v>38</v>
      </c>
      <c r="U396" s="97">
        <v>2019</v>
      </c>
      <c r="V396" s="98">
        <v>43647</v>
      </c>
      <c r="W396" s="97" t="s">
        <v>1292</v>
      </c>
      <c r="X396" s="97"/>
      <c r="Y396" s="102"/>
      <c r="Z396" s="102"/>
    </row>
    <row r="397" spans="1:26" s="82" customFormat="1" ht="45" x14ac:dyDescent="0.25">
      <c r="A397" s="82" t="s">
        <v>3039</v>
      </c>
      <c r="B397" s="82" t="s">
        <v>3040</v>
      </c>
      <c r="C397" s="82" t="str">
        <f t="shared" si="12"/>
        <v>NCC-238  - Burton v. Wilmington Parking Authority</v>
      </c>
      <c r="D397" s="96" t="s">
        <v>2498</v>
      </c>
      <c r="E397" s="96" t="s">
        <v>29</v>
      </c>
      <c r="F397" s="97" t="s">
        <v>30</v>
      </c>
      <c r="G397" s="97" t="s">
        <v>293</v>
      </c>
      <c r="H397" s="96"/>
      <c r="I397" s="99" t="s">
        <v>3041</v>
      </c>
      <c r="J397" s="95">
        <v>3</v>
      </c>
      <c r="K397" s="95">
        <v>2</v>
      </c>
      <c r="L397" s="100" t="s">
        <v>3042</v>
      </c>
      <c r="M397" s="100" t="s">
        <v>3043</v>
      </c>
      <c r="N397" s="101" t="s">
        <v>3044</v>
      </c>
      <c r="O397" s="82" t="s">
        <v>1205</v>
      </c>
      <c r="P397" s="82">
        <v>19801</v>
      </c>
      <c r="R397" s="82" t="s">
        <v>37</v>
      </c>
      <c r="T397" s="82" t="s">
        <v>38</v>
      </c>
      <c r="U397" s="97">
        <v>2018</v>
      </c>
      <c r="V397" s="98">
        <v>43391</v>
      </c>
      <c r="W397" s="97" t="s">
        <v>1292</v>
      </c>
      <c r="X397" s="97"/>
      <c r="Y397" s="102" t="s">
        <v>3045</v>
      </c>
      <c r="Z397" s="102" t="s">
        <v>3046</v>
      </c>
    </row>
    <row r="398" spans="1:26" s="82" customFormat="1" ht="60" x14ac:dyDescent="0.25">
      <c r="A398" s="82" t="s">
        <v>3047</v>
      </c>
      <c r="B398" s="82" t="s">
        <v>3048</v>
      </c>
      <c r="C398" s="82" t="str">
        <f t="shared" si="12"/>
        <v>NCC-239  - Mount Pleasant Methodist Episcopal (ME) Church and Parsonage</v>
      </c>
      <c r="D398" s="96" t="s">
        <v>3049</v>
      </c>
      <c r="E398" s="96" t="s">
        <v>29</v>
      </c>
      <c r="F398" s="97" t="s">
        <v>191</v>
      </c>
      <c r="G398" s="97"/>
      <c r="H398" s="96" t="s">
        <v>232</v>
      </c>
      <c r="I398" s="99" t="s">
        <v>3050</v>
      </c>
      <c r="J398" s="95">
        <v>1</v>
      </c>
      <c r="K398" s="95">
        <v>6</v>
      </c>
      <c r="L398" s="100" t="s">
        <v>3051</v>
      </c>
      <c r="M398" s="100" t="s">
        <v>3052</v>
      </c>
      <c r="N398" s="101" t="s">
        <v>3053</v>
      </c>
      <c r="O398" s="82" t="s">
        <v>1205</v>
      </c>
      <c r="P398" s="82">
        <v>19809</v>
      </c>
      <c r="R398" s="82" t="s">
        <v>37</v>
      </c>
      <c r="T398" s="82" t="s">
        <v>38</v>
      </c>
      <c r="U398" s="97">
        <v>2018</v>
      </c>
      <c r="V398" s="98">
        <v>43424</v>
      </c>
      <c r="W398" s="97" t="s">
        <v>1292</v>
      </c>
      <c r="X398" s="97"/>
      <c r="Y398" s="131" t="s">
        <v>3054</v>
      </c>
      <c r="Z398" s="102" t="s">
        <v>3055</v>
      </c>
    </row>
    <row r="399" spans="1:26" s="82" customFormat="1" ht="45" x14ac:dyDescent="0.25">
      <c r="A399" s="82" t="s">
        <v>3056</v>
      </c>
      <c r="B399" s="82" t="s">
        <v>3057</v>
      </c>
      <c r="C399" s="82" t="str">
        <f t="shared" si="12"/>
        <v>NCC-240  - Louis L. Redding Comprehensive High School</v>
      </c>
      <c r="D399" s="96" t="s">
        <v>3058</v>
      </c>
      <c r="E399" s="96" t="s">
        <v>29</v>
      </c>
      <c r="F399" s="97" t="s">
        <v>276</v>
      </c>
      <c r="G399" s="97" t="s">
        <v>293</v>
      </c>
      <c r="H399" s="96"/>
      <c r="I399" s="99" t="s">
        <v>796</v>
      </c>
      <c r="J399" s="95">
        <v>10</v>
      </c>
      <c r="K399" s="95">
        <v>8</v>
      </c>
      <c r="L399" s="100" t="s">
        <v>3059</v>
      </c>
      <c r="M399" s="100" t="s">
        <v>3060</v>
      </c>
      <c r="N399" s="101" t="s">
        <v>3061</v>
      </c>
      <c r="O399" s="82" t="s">
        <v>1290</v>
      </c>
      <c r="P399" s="82">
        <v>19709</v>
      </c>
      <c r="R399" s="82" t="s">
        <v>37</v>
      </c>
      <c r="S399" s="82" t="s">
        <v>3062</v>
      </c>
      <c r="T399" s="82" t="s">
        <v>38</v>
      </c>
      <c r="U399" s="97">
        <v>2019</v>
      </c>
      <c r="V399" s="98">
        <v>43571</v>
      </c>
      <c r="W399" s="97" t="s">
        <v>1292</v>
      </c>
      <c r="X399" s="97"/>
      <c r="Y399" s="102" t="s">
        <v>3063</v>
      </c>
      <c r="Z399" s="102" t="s">
        <v>3064</v>
      </c>
    </row>
    <row r="400" spans="1:26" s="82" customFormat="1" ht="45" x14ac:dyDescent="0.25">
      <c r="A400" s="82" t="s">
        <v>3065</v>
      </c>
      <c r="B400" s="82" t="s">
        <v>3066</v>
      </c>
      <c r="C400" s="82" t="str">
        <f t="shared" si="12"/>
        <v>NCC-241  - Village of Port Penn</v>
      </c>
      <c r="D400" s="96" t="s">
        <v>3018</v>
      </c>
      <c r="E400" s="96" t="s">
        <v>29</v>
      </c>
      <c r="F400" s="97" t="s">
        <v>205</v>
      </c>
      <c r="G400" s="97"/>
      <c r="H400" s="96"/>
      <c r="I400" s="99" t="s">
        <v>3067</v>
      </c>
      <c r="J400" s="95">
        <v>12</v>
      </c>
      <c r="K400" s="95">
        <v>9</v>
      </c>
      <c r="L400" s="100" t="s">
        <v>3068</v>
      </c>
      <c r="M400" s="100" t="s">
        <v>3069</v>
      </c>
      <c r="N400" s="101" t="s">
        <v>3070</v>
      </c>
      <c r="O400" s="82" t="s">
        <v>2173</v>
      </c>
      <c r="P400" s="82">
        <v>19731</v>
      </c>
      <c r="R400" s="82" t="s">
        <v>37</v>
      </c>
      <c r="S400" s="82" t="s">
        <v>3071</v>
      </c>
      <c r="T400" s="82" t="s">
        <v>38</v>
      </c>
      <c r="U400" s="97">
        <v>2019</v>
      </c>
      <c r="V400" s="98">
        <v>43656</v>
      </c>
      <c r="W400" s="97" t="s">
        <v>1292</v>
      </c>
      <c r="X400" s="97"/>
      <c r="Y400" s="102" t="s">
        <v>3072</v>
      </c>
      <c r="Z400" s="102" t="s">
        <v>3073</v>
      </c>
    </row>
    <row r="401" spans="1:26" s="82" customFormat="1" ht="45" x14ac:dyDescent="0.25">
      <c r="A401" s="82" t="s">
        <v>3074</v>
      </c>
      <c r="B401" s="82" t="s">
        <v>3075</v>
      </c>
      <c r="C401" s="82" t="str">
        <f t="shared" ref="C401:C414" si="13">A401 &amp; " - " &amp; B401</f>
        <v>NCC-242  - Delaware Chemical Engineering Company</v>
      </c>
      <c r="D401" s="96" t="s">
        <v>2596</v>
      </c>
      <c r="E401" s="96" t="s">
        <v>29</v>
      </c>
      <c r="F401" s="97" t="s">
        <v>30</v>
      </c>
      <c r="G401" s="97"/>
      <c r="H401" s="96" t="s">
        <v>473</v>
      </c>
      <c r="I401" s="99" t="s">
        <v>3076</v>
      </c>
      <c r="J401" s="95">
        <v>1</v>
      </c>
      <c r="K401" s="95">
        <v>1</v>
      </c>
      <c r="L401" s="100" t="s">
        <v>3077</v>
      </c>
      <c r="M401" s="100" t="s">
        <v>3078</v>
      </c>
      <c r="N401" s="101" t="s">
        <v>3079</v>
      </c>
      <c r="O401" s="82" t="s">
        <v>1205</v>
      </c>
      <c r="P401" s="82">
        <v>19802</v>
      </c>
      <c r="R401" s="82" t="s">
        <v>37</v>
      </c>
      <c r="T401" s="82" t="s">
        <v>38</v>
      </c>
      <c r="U401" s="97">
        <v>2019</v>
      </c>
      <c r="V401" s="98">
        <v>43592</v>
      </c>
      <c r="W401" s="97" t="s">
        <v>1292</v>
      </c>
      <c r="X401" s="97"/>
      <c r="Y401" s="102" t="s">
        <v>3080</v>
      </c>
      <c r="Z401" s="102" t="s">
        <v>3081</v>
      </c>
    </row>
    <row r="402" spans="1:26" s="82" customFormat="1" ht="30" x14ac:dyDescent="0.25">
      <c r="A402" s="82" t="s">
        <v>3082</v>
      </c>
      <c r="B402" s="82" t="s">
        <v>3083</v>
      </c>
      <c r="C402" s="82" t="str">
        <f t="shared" si="13"/>
        <v>NCC-243  - The Monday Club</v>
      </c>
      <c r="D402" s="96" t="s">
        <v>3084</v>
      </c>
      <c r="E402" s="96" t="s">
        <v>29</v>
      </c>
      <c r="F402" s="97" t="s">
        <v>42</v>
      </c>
      <c r="G402" s="97" t="s">
        <v>293</v>
      </c>
      <c r="H402" s="96"/>
      <c r="I402" s="99" t="s">
        <v>3085</v>
      </c>
      <c r="J402" s="95">
        <v>3</v>
      </c>
      <c r="K402" s="95">
        <v>2</v>
      </c>
      <c r="L402" s="100" t="s">
        <v>3086</v>
      </c>
      <c r="M402" s="100" t="s">
        <v>3087</v>
      </c>
      <c r="N402" s="101" t="s">
        <v>3088</v>
      </c>
      <c r="O402" s="82" t="s">
        <v>1205</v>
      </c>
      <c r="P402" s="82">
        <v>19801</v>
      </c>
      <c r="R402" s="82" t="s">
        <v>37</v>
      </c>
      <c r="T402" s="82" t="s">
        <v>38</v>
      </c>
      <c r="U402" s="97">
        <v>2020</v>
      </c>
      <c r="V402" s="98">
        <v>44124</v>
      </c>
      <c r="W402" s="97" t="s">
        <v>1292</v>
      </c>
      <c r="X402" s="97"/>
      <c r="Y402" s="102"/>
      <c r="Z402" s="102"/>
    </row>
    <row r="403" spans="1:26" s="82" customFormat="1" ht="45" x14ac:dyDescent="0.25">
      <c r="A403" s="82" t="s">
        <v>3089</v>
      </c>
      <c r="B403" s="82" t="s">
        <v>3090</v>
      </c>
      <c r="C403" s="82" t="str">
        <f t="shared" si="13"/>
        <v>NCC-244  - The Lynching of George White</v>
      </c>
      <c r="D403" s="96" t="s">
        <v>3091</v>
      </c>
      <c r="E403" s="96" t="s">
        <v>29</v>
      </c>
      <c r="F403" s="97" t="s">
        <v>42</v>
      </c>
      <c r="G403" s="97" t="s">
        <v>293</v>
      </c>
      <c r="H403" s="96" t="s">
        <v>1168</v>
      </c>
      <c r="I403" s="99" t="s">
        <v>3092</v>
      </c>
      <c r="J403" s="95">
        <v>7</v>
      </c>
      <c r="K403" s="95">
        <v>19</v>
      </c>
      <c r="L403" s="100" t="s">
        <v>3093</v>
      </c>
      <c r="M403" s="100" t="s">
        <v>3094</v>
      </c>
      <c r="N403" s="101" t="s">
        <v>3095</v>
      </c>
      <c r="O403" s="82" t="s">
        <v>1205</v>
      </c>
      <c r="P403" s="82">
        <v>19808</v>
      </c>
      <c r="R403" s="82" t="s">
        <v>37</v>
      </c>
      <c r="S403" s="82" t="s">
        <v>3096</v>
      </c>
      <c r="T403" s="82" t="s">
        <v>38</v>
      </c>
      <c r="U403" s="97">
        <v>2019</v>
      </c>
      <c r="V403" s="98">
        <v>43635</v>
      </c>
      <c r="W403" s="97" t="s">
        <v>1292</v>
      </c>
      <c r="X403" s="97">
        <v>2019</v>
      </c>
      <c r="Y403" s="102" t="s">
        <v>3097</v>
      </c>
      <c r="Z403" s="102" t="s">
        <v>3098</v>
      </c>
    </row>
    <row r="404" spans="1:26" s="82" customFormat="1" ht="45" x14ac:dyDescent="0.25">
      <c r="A404" s="82" t="s">
        <v>3099</v>
      </c>
      <c r="B404" s="82" t="s">
        <v>3100</v>
      </c>
      <c r="C404" s="82" t="str">
        <f t="shared" si="13"/>
        <v>NCC-245  - New London Road Community</v>
      </c>
      <c r="D404" s="96" t="s">
        <v>2894</v>
      </c>
      <c r="E404" s="96" t="s">
        <v>29</v>
      </c>
      <c r="F404" s="97" t="s">
        <v>30</v>
      </c>
      <c r="G404" s="97" t="s">
        <v>293</v>
      </c>
      <c r="H404" s="96"/>
      <c r="I404" s="99" t="s">
        <v>2895</v>
      </c>
      <c r="J404" s="95">
        <v>8</v>
      </c>
      <c r="K404" s="95">
        <v>23</v>
      </c>
      <c r="L404" s="100" t="s">
        <v>3101</v>
      </c>
      <c r="M404" s="100" t="s">
        <v>3102</v>
      </c>
      <c r="N404" s="101" t="s">
        <v>2466</v>
      </c>
      <c r="O404" s="82" t="s">
        <v>1428</v>
      </c>
      <c r="P404" s="82">
        <v>19711</v>
      </c>
      <c r="R404" s="82" t="s">
        <v>37</v>
      </c>
      <c r="S404" s="82" t="s">
        <v>3103</v>
      </c>
      <c r="T404" s="82" t="s">
        <v>38</v>
      </c>
      <c r="U404" s="97">
        <v>2019</v>
      </c>
      <c r="V404" s="98">
        <v>43704</v>
      </c>
      <c r="W404" s="97" t="s">
        <v>1292</v>
      </c>
      <c r="X404" s="97">
        <v>2020</v>
      </c>
      <c r="Y404" s="102" t="s">
        <v>3104</v>
      </c>
      <c r="Z404" s="102" t="s">
        <v>3105</v>
      </c>
    </row>
    <row r="405" spans="1:26" s="82" customFormat="1" ht="45" x14ac:dyDescent="0.25">
      <c r="A405" s="82" t="s">
        <v>3106</v>
      </c>
      <c r="B405" s="82" t="s">
        <v>3107</v>
      </c>
      <c r="C405" s="82" t="str">
        <f t="shared" si="13"/>
        <v>NCC-246  - Brandywine Village and the Road to Yorktown</v>
      </c>
      <c r="D405" s="96" t="s">
        <v>3108</v>
      </c>
      <c r="E405" s="96" t="s">
        <v>29</v>
      </c>
      <c r="F405" s="97" t="s">
        <v>30</v>
      </c>
      <c r="G405" s="97"/>
      <c r="H405" s="96" t="s">
        <v>442</v>
      </c>
      <c r="I405" s="99" t="s">
        <v>3092</v>
      </c>
      <c r="J405" s="95">
        <v>1</v>
      </c>
      <c r="K405" s="95">
        <v>2</v>
      </c>
      <c r="L405" s="100" t="s">
        <v>3109</v>
      </c>
      <c r="M405" s="100" t="s">
        <v>3110</v>
      </c>
      <c r="N405" s="101" t="s">
        <v>3111</v>
      </c>
      <c r="O405" s="82" t="s">
        <v>1205</v>
      </c>
      <c r="P405" s="82">
        <v>19802</v>
      </c>
      <c r="Q405" s="82" t="s">
        <v>3112</v>
      </c>
      <c r="R405" s="82" t="s">
        <v>37</v>
      </c>
      <c r="T405" s="82" t="s">
        <v>38</v>
      </c>
      <c r="U405" s="97">
        <v>2019</v>
      </c>
      <c r="V405" s="98">
        <v>43690</v>
      </c>
      <c r="W405" s="97" t="s">
        <v>1292</v>
      </c>
      <c r="X405" s="97"/>
      <c r="Y405" s="102" t="s">
        <v>3113</v>
      </c>
      <c r="Z405" s="102" t="s">
        <v>3114</v>
      </c>
    </row>
    <row r="406" spans="1:26" s="82" customFormat="1" ht="45" x14ac:dyDescent="0.25">
      <c r="A406" s="82" t="s">
        <v>3115</v>
      </c>
      <c r="B406" s="82" t="s">
        <v>3116</v>
      </c>
      <c r="C406" s="82" t="str">
        <f t="shared" si="13"/>
        <v>NCC-247  - Crooked Billet</v>
      </c>
      <c r="D406" s="96" t="s">
        <v>1220</v>
      </c>
      <c r="E406" s="96" t="s">
        <v>29</v>
      </c>
      <c r="F406" s="97" t="s">
        <v>30</v>
      </c>
      <c r="G406" s="97"/>
      <c r="H406" s="96" t="s">
        <v>484</v>
      </c>
      <c r="I406" s="99" t="s">
        <v>2456</v>
      </c>
      <c r="J406" s="95">
        <v>4</v>
      </c>
      <c r="K406" s="95">
        <v>12</v>
      </c>
      <c r="L406" s="100" t="s">
        <v>3117</v>
      </c>
      <c r="M406" s="100" t="s">
        <v>3118</v>
      </c>
      <c r="N406" s="101" t="s">
        <v>3119</v>
      </c>
      <c r="O406" s="82" t="s">
        <v>1741</v>
      </c>
      <c r="P406" s="82">
        <v>19807</v>
      </c>
      <c r="R406" s="82" t="s">
        <v>37</v>
      </c>
      <c r="T406" s="82" t="s">
        <v>38</v>
      </c>
      <c r="U406" s="97">
        <v>2019</v>
      </c>
      <c r="V406" s="97" t="s">
        <v>3120</v>
      </c>
      <c r="W406" s="97" t="s">
        <v>1292</v>
      </c>
      <c r="X406" s="97"/>
      <c r="Y406" s="189" t="s">
        <v>3121</v>
      </c>
      <c r="Z406" s="114" t="s">
        <v>3122</v>
      </c>
    </row>
    <row r="407" spans="1:26" s="82" customFormat="1" ht="45" x14ac:dyDescent="0.25">
      <c r="A407" s="82" t="s">
        <v>3123</v>
      </c>
      <c r="B407" s="82" t="s">
        <v>3124</v>
      </c>
      <c r="C407" s="82" t="str">
        <f t="shared" si="13"/>
        <v>NCC-248  - Abraham Shadd Family</v>
      </c>
      <c r="D407" s="96" t="s">
        <v>3125</v>
      </c>
      <c r="E407" s="96" t="s">
        <v>29</v>
      </c>
      <c r="F407" s="97" t="s">
        <v>62</v>
      </c>
      <c r="G407" s="97" t="s">
        <v>293</v>
      </c>
      <c r="H407" s="96"/>
      <c r="I407" s="99" t="s">
        <v>3126</v>
      </c>
      <c r="J407" s="95">
        <v>3</v>
      </c>
      <c r="K407" s="95">
        <v>2</v>
      </c>
      <c r="L407" s="100" t="s">
        <v>3127</v>
      </c>
      <c r="M407" s="100" t="s">
        <v>3128</v>
      </c>
      <c r="N407" s="101" t="s">
        <v>3129</v>
      </c>
      <c r="O407" s="82" t="s">
        <v>1205</v>
      </c>
      <c r="P407" s="82">
        <v>19801</v>
      </c>
      <c r="R407" s="82" t="s">
        <v>37</v>
      </c>
      <c r="T407" s="82" t="s">
        <v>38</v>
      </c>
      <c r="U407" s="97">
        <v>2022</v>
      </c>
      <c r="V407" s="98">
        <v>44594</v>
      </c>
      <c r="W407" s="97" t="s">
        <v>1292</v>
      </c>
      <c r="X407" s="97"/>
      <c r="Y407" s="102" t="s">
        <v>3130</v>
      </c>
      <c r="Z407" s="102" t="s">
        <v>3131</v>
      </c>
    </row>
    <row r="408" spans="1:26" s="82" customFormat="1" ht="45" x14ac:dyDescent="0.25">
      <c r="A408" s="82" t="s">
        <v>3132</v>
      </c>
      <c r="B408" s="82" t="s">
        <v>3133</v>
      </c>
      <c r="C408" s="82" t="str">
        <f t="shared" si="13"/>
        <v>NCC-249  - Harvey Barn</v>
      </c>
      <c r="D408" s="96" t="s">
        <v>1799</v>
      </c>
      <c r="E408" s="96" t="s">
        <v>29</v>
      </c>
      <c r="F408" s="97" t="s">
        <v>30</v>
      </c>
      <c r="G408" s="97"/>
      <c r="H408" s="96" t="s">
        <v>3134</v>
      </c>
      <c r="I408" s="99" t="s">
        <v>3135</v>
      </c>
      <c r="J408" s="95">
        <v>5</v>
      </c>
      <c r="K408" s="95">
        <v>7</v>
      </c>
      <c r="L408" s="100" t="s">
        <v>3136</v>
      </c>
      <c r="M408" s="100" t="s">
        <v>3137</v>
      </c>
      <c r="N408" s="101" t="s">
        <v>3138</v>
      </c>
      <c r="O408" s="82" t="s">
        <v>1205</v>
      </c>
      <c r="P408" s="82">
        <v>19810</v>
      </c>
      <c r="Q408" s="82" t="s">
        <v>3139</v>
      </c>
      <c r="R408" s="82" t="s">
        <v>3140</v>
      </c>
      <c r="T408" s="82" t="s">
        <v>38</v>
      </c>
      <c r="U408" s="97">
        <v>2019</v>
      </c>
      <c r="V408" s="98">
        <v>43768</v>
      </c>
      <c r="W408" s="97" t="s">
        <v>1292</v>
      </c>
      <c r="X408" s="97"/>
      <c r="Y408" s="114" t="s">
        <v>3141</v>
      </c>
      <c r="Z408" s="114" t="s">
        <v>3142</v>
      </c>
    </row>
    <row r="409" spans="1:26" s="82" customFormat="1" ht="60" x14ac:dyDescent="0.25">
      <c r="A409" s="82" t="s">
        <v>3143</v>
      </c>
      <c r="B409" s="82" t="s">
        <v>3144</v>
      </c>
      <c r="C409" s="82" t="str">
        <f t="shared" si="13"/>
        <v>NCC-250  - Memorial Day Parade and Soldiers and Sailors Monument</v>
      </c>
      <c r="D409" s="96" t="s">
        <v>3145</v>
      </c>
      <c r="E409" s="96" t="s">
        <v>29</v>
      </c>
      <c r="F409" s="97" t="s">
        <v>30</v>
      </c>
      <c r="G409" s="97"/>
      <c r="H409" s="96" t="s">
        <v>550</v>
      </c>
      <c r="I409" s="99" t="s">
        <v>2456</v>
      </c>
      <c r="J409" s="95">
        <v>1</v>
      </c>
      <c r="K409" s="95">
        <v>1</v>
      </c>
      <c r="L409" s="100" t="s">
        <v>3146</v>
      </c>
      <c r="M409" s="100" t="s">
        <v>3147</v>
      </c>
      <c r="N409" s="101" t="s">
        <v>3148</v>
      </c>
      <c r="O409" s="82" t="s">
        <v>1205</v>
      </c>
      <c r="P409" s="82">
        <v>19806</v>
      </c>
      <c r="R409" s="82" t="s">
        <v>37</v>
      </c>
      <c r="S409" s="82" t="s">
        <v>3149</v>
      </c>
      <c r="T409" s="82" t="s">
        <v>38</v>
      </c>
      <c r="U409" s="97">
        <v>2020</v>
      </c>
      <c r="V409" s="98">
        <v>44012</v>
      </c>
      <c r="W409" s="97" t="s">
        <v>1292</v>
      </c>
      <c r="X409" s="98">
        <v>44336</v>
      </c>
      <c r="Y409" s="114" t="s">
        <v>3150</v>
      </c>
      <c r="Z409" s="114" t="s">
        <v>3151</v>
      </c>
    </row>
    <row r="410" spans="1:26" s="82" customFormat="1" ht="45" x14ac:dyDescent="0.25">
      <c r="A410" s="82" t="s">
        <v>3152</v>
      </c>
      <c r="B410" s="82" t="s">
        <v>3153</v>
      </c>
      <c r="C410" s="82" t="str">
        <f t="shared" si="13"/>
        <v>NCC-251  - Site of African Union Church and Cemetery</v>
      </c>
      <c r="D410" s="96" t="s">
        <v>3154</v>
      </c>
      <c r="E410" s="96" t="s">
        <v>29</v>
      </c>
      <c r="F410" s="97" t="s">
        <v>191</v>
      </c>
      <c r="G410" s="97" t="s">
        <v>293</v>
      </c>
      <c r="H410" s="96"/>
      <c r="I410" s="99" t="s">
        <v>3155</v>
      </c>
      <c r="J410" s="95">
        <v>13</v>
      </c>
      <c r="K410" s="95">
        <v>18</v>
      </c>
      <c r="L410" s="100" t="s">
        <v>3156</v>
      </c>
      <c r="M410" s="100" t="s">
        <v>3157</v>
      </c>
      <c r="N410" s="101" t="s">
        <v>3158</v>
      </c>
      <c r="O410" s="82" t="s">
        <v>1505</v>
      </c>
      <c r="P410" s="82">
        <v>19701</v>
      </c>
      <c r="R410" s="82" t="s">
        <v>37</v>
      </c>
      <c r="T410" s="82" t="s">
        <v>38</v>
      </c>
      <c r="U410" s="97">
        <v>2020</v>
      </c>
      <c r="V410" s="98">
        <v>44061</v>
      </c>
      <c r="W410" s="97" t="s">
        <v>1292</v>
      </c>
      <c r="X410" s="97"/>
      <c r="Y410" s="102" t="s">
        <v>3159</v>
      </c>
      <c r="Z410" s="102" t="s">
        <v>3160</v>
      </c>
    </row>
    <row r="411" spans="1:26" s="82" customFormat="1" ht="45" x14ac:dyDescent="0.25">
      <c r="A411" s="82" t="s">
        <v>3161</v>
      </c>
      <c r="B411" s="82" t="s">
        <v>3162</v>
      </c>
      <c r="C411" s="82" t="str">
        <f t="shared" si="13"/>
        <v>NCC-252  - Cox-Phillips-Mitchell Agricultural Complex</v>
      </c>
      <c r="D411" s="96" t="s">
        <v>1396</v>
      </c>
      <c r="E411" s="96" t="s">
        <v>29</v>
      </c>
      <c r="F411" s="97" t="s">
        <v>30</v>
      </c>
      <c r="G411" s="97"/>
      <c r="H411" s="96"/>
      <c r="I411" s="99" t="s">
        <v>3163</v>
      </c>
      <c r="J411" s="95">
        <v>4</v>
      </c>
      <c r="K411" s="95">
        <v>22</v>
      </c>
      <c r="L411" s="100" t="s">
        <v>3164</v>
      </c>
      <c r="M411" s="100" t="s">
        <v>3165</v>
      </c>
      <c r="N411" s="101" t="s">
        <v>3166</v>
      </c>
      <c r="O411" s="82" t="s">
        <v>1399</v>
      </c>
      <c r="P411" s="82">
        <v>19707</v>
      </c>
      <c r="R411" s="82" t="s">
        <v>37</v>
      </c>
      <c r="T411" s="82" t="s">
        <v>38</v>
      </c>
      <c r="U411" s="97">
        <v>2020</v>
      </c>
      <c r="V411" s="98">
        <v>44096</v>
      </c>
      <c r="W411" s="97" t="s">
        <v>1292</v>
      </c>
      <c r="X411" s="97"/>
      <c r="Y411" s="102" t="s">
        <v>3167</v>
      </c>
      <c r="Z411" s="102" t="s">
        <v>3168</v>
      </c>
    </row>
    <row r="412" spans="1:26" s="82" customFormat="1" ht="45" x14ac:dyDescent="0.25">
      <c r="A412" s="82" t="s">
        <v>3169</v>
      </c>
      <c r="B412" s="82" t="s">
        <v>3170</v>
      </c>
      <c r="C412" s="82" t="str">
        <f t="shared" si="13"/>
        <v>NCC-253  - Women's Suffrage Parade</v>
      </c>
      <c r="D412" s="115" t="s">
        <v>2525</v>
      </c>
      <c r="E412" s="96" t="s">
        <v>29</v>
      </c>
      <c r="F412" s="97" t="s">
        <v>42</v>
      </c>
      <c r="G412" s="97" t="s">
        <v>931</v>
      </c>
      <c r="H412" s="96" t="s">
        <v>3171</v>
      </c>
      <c r="I412" s="99" t="s">
        <v>1031</v>
      </c>
      <c r="J412" s="95">
        <v>3</v>
      </c>
      <c r="K412" s="95">
        <v>2</v>
      </c>
      <c r="L412" s="100" t="s">
        <v>3172</v>
      </c>
      <c r="M412" s="100" t="s">
        <v>3173</v>
      </c>
      <c r="N412" s="101" t="s">
        <v>3174</v>
      </c>
      <c r="O412" s="82" t="s">
        <v>1205</v>
      </c>
      <c r="P412" s="82">
        <v>19804</v>
      </c>
      <c r="Q412" s="82" t="s">
        <v>3175</v>
      </c>
      <c r="R412" s="82" t="s">
        <v>37</v>
      </c>
      <c r="S412" s="82" t="s">
        <v>1035</v>
      </c>
      <c r="T412" s="82" t="s">
        <v>38</v>
      </c>
      <c r="U412" s="97">
        <v>2021</v>
      </c>
      <c r="V412" s="98">
        <v>44432</v>
      </c>
      <c r="W412" s="97" t="s">
        <v>1292</v>
      </c>
      <c r="X412" s="97"/>
      <c r="Y412" s="102" t="s">
        <v>3176</v>
      </c>
      <c r="Z412" s="102" t="s">
        <v>3177</v>
      </c>
    </row>
    <row r="413" spans="1:26" s="82" customFormat="1" ht="60" x14ac:dyDescent="0.25">
      <c r="A413" s="82" t="s">
        <v>3178</v>
      </c>
      <c r="B413" s="82" t="s">
        <v>3179</v>
      </c>
      <c r="C413" s="82" t="str">
        <f t="shared" si="13"/>
        <v>NCC-254  - Farnhurst Potter's Field - New Castle County Hospital Cemetery</v>
      </c>
      <c r="D413" s="96" t="s">
        <v>2096</v>
      </c>
      <c r="E413" s="96" t="s">
        <v>29</v>
      </c>
      <c r="F413" s="97" t="s">
        <v>30</v>
      </c>
      <c r="G413" s="97"/>
      <c r="H413" s="96" t="s">
        <v>153</v>
      </c>
      <c r="I413" s="99" t="s">
        <v>3155</v>
      </c>
      <c r="J413" s="95">
        <v>3</v>
      </c>
      <c r="K413" s="95">
        <v>16</v>
      </c>
      <c r="L413" s="100" t="s">
        <v>3180</v>
      </c>
      <c r="M413" s="100" t="s">
        <v>3181</v>
      </c>
      <c r="N413" s="101" t="s">
        <v>3182</v>
      </c>
      <c r="O413" s="82" t="s">
        <v>1268</v>
      </c>
      <c r="P413" s="82">
        <v>19720</v>
      </c>
      <c r="R413" s="82" t="s">
        <v>37</v>
      </c>
      <c r="T413" s="82" t="s">
        <v>38</v>
      </c>
      <c r="U413" s="97">
        <v>2020</v>
      </c>
      <c r="V413" s="98">
        <v>44132</v>
      </c>
      <c r="W413" s="97" t="s">
        <v>1292</v>
      </c>
      <c r="X413" s="97"/>
      <c r="Y413" s="102" t="s">
        <v>3183</v>
      </c>
      <c r="Z413" s="102" t="s">
        <v>3184</v>
      </c>
    </row>
    <row r="414" spans="1:26" s="82" customFormat="1" ht="45" x14ac:dyDescent="0.25">
      <c r="A414" s="82" t="s">
        <v>3185</v>
      </c>
      <c r="B414" s="82" t="s">
        <v>3186</v>
      </c>
      <c r="C414" s="82" t="str">
        <f t="shared" si="13"/>
        <v>NCC-255  - Newark Union Church and Cemetery</v>
      </c>
      <c r="D414" s="96" t="s">
        <v>3187</v>
      </c>
      <c r="E414" s="96" t="s">
        <v>29</v>
      </c>
      <c r="F414" s="97" t="s">
        <v>191</v>
      </c>
      <c r="G414" s="97"/>
      <c r="H414" s="96" t="s">
        <v>3188</v>
      </c>
      <c r="I414" s="99" t="s">
        <v>3189</v>
      </c>
      <c r="J414" s="95">
        <v>1</v>
      </c>
      <c r="K414" s="95">
        <v>6</v>
      </c>
      <c r="L414" s="100" t="s">
        <v>3190</v>
      </c>
      <c r="M414" s="100" t="s">
        <v>3191</v>
      </c>
      <c r="N414" s="101" t="s">
        <v>3192</v>
      </c>
      <c r="O414" s="82" t="s">
        <v>1205</v>
      </c>
      <c r="P414" s="82">
        <v>19803</v>
      </c>
      <c r="R414" s="82" t="s">
        <v>1206</v>
      </c>
      <c r="T414" s="82" t="s">
        <v>38</v>
      </c>
      <c r="U414" s="97">
        <v>2020</v>
      </c>
      <c r="V414" s="98">
        <v>44179</v>
      </c>
      <c r="W414" s="97" t="s">
        <v>1292</v>
      </c>
      <c r="X414" s="97"/>
      <c r="Y414" s="114" t="s">
        <v>3193</v>
      </c>
      <c r="Z414" s="114" t="s">
        <v>3194</v>
      </c>
    </row>
    <row r="415" spans="1:26" s="82" customFormat="1" x14ac:dyDescent="0.25">
      <c r="A415" s="7" t="s">
        <v>3195</v>
      </c>
      <c r="B415" s="7" t="s">
        <v>5328</v>
      </c>
      <c r="C415" s="7" t="str">
        <f>CONCATENATE(Table1[[#This Row],[Marker Number]]," - ",Table1[[#This Row],[Marker Name]])</f>
        <v>NCC-256 - Fort Delaware</v>
      </c>
      <c r="D415" s="21"/>
      <c r="E415" s="21" t="s">
        <v>1070</v>
      </c>
      <c r="F415" s="8"/>
      <c r="G415" s="8"/>
      <c r="H415" s="21"/>
      <c r="I415" s="29"/>
      <c r="J415" s="18"/>
      <c r="K415" s="18"/>
      <c r="L415" s="27"/>
      <c r="M415" s="27"/>
      <c r="N415" s="5"/>
      <c r="O415" s="3"/>
      <c r="P415" s="3"/>
      <c r="Q415" s="3"/>
      <c r="R415" s="3" t="s">
        <v>37</v>
      </c>
      <c r="S415" s="3"/>
      <c r="T415" s="3"/>
      <c r="U415" s="8"/>
      <c r="V415" s="8"/>
      <c r="W415" s="8"/>
      <c r="X415" s="8"/>
      <c r="Y415" s="52"/>
      <c r="Z415" s="52"/>
    </row>
    <row r="416" spans="1:26" ht="45" x14ac:dyDescent="0.25">
      <c r="A416" s="82" t="s">
        <v>3196</v>
      </c>
      <c r="B416" s="82" t="s">
        <v>3197</v>
      </c>
      <c r="C416" s="82" t="str">
        <f>A416 &amp; " - " &amp; B416</f>
        <v>NCC-257  - Henry Clay Village</v>
      </c>
      <c r="D416" s="96" t="s">
        <v>3198</v>
      </c>
      <c r="E416" s="96" t="s">
        <v>29</v>
      </c>
      <c r="F416" s="97" t="s">
        <v>30</v>
      </c>
      <c r="G416" s="97"/>
      <c r="H416" s="96"/>
      <c r="I416" s="99" t="s">
        <v>2456</v>
      </c>
      <c r="J416" s="95">
        <v>1</v>
      </c>
      <c r="K416" s="95">
        <v>12</v>
      </c>
      <c r="L416" s="100" t="s">
        <v>3199</v>
      </c>
      <c r="M416" s="100" t="s">
        <v>3200</v>
      </c>
      <c r="N416" s="101" t="s">
        <v>3201</v>
      </c>
      <c r="O416" s="82" t="s">
        <v>1741</v>
      </c>
      <c r="P416" s="82">
        <v>19807</v>
      </c>
      <c r="Q416" s="82"/>
      <c r="R416" s="82" t="s">
        <v>37</v>
      </c>
      <c r="S416" s="82"/>
      <c r="T416" s="82" t="s">
        <v>1269</v>
      </c>
      <c r="U416" s="97">
        <v>2021</v>
      </c>
      <c r="V416" s="98">
        <v>44432</v>
      </c>
      <c r="W416" s="97" t="s">
        <v>1292</v>
      </c>
      <c r="X416" s="97"/>
      <c r="Y416" s="102" t="s">
        <v>3202</v>
      </c>
      <c r="Z416" s="102" t="s">
        <v>3203</v>
      </c>
    </row>
    <row r="417" spans="1:26" s="82" customFormat="1" ht="45" x14ac:dyDescent="0.25">
      <c r="A417" s="82" t="s">
        <v>3204</v>
      </c>
      <c r="B417" s="82" t="s">
        <v>3205</v>
      </c>
      <c r="C417" s="82" t="str">
        <f>A417 &amp; " - " &amp; B417</f>
        <v>NCC-258  - Equal Suffrage Study Club</v>
      </c>
      <c r="D417" s="96" t="s">
        <v>2168</v>
      </c>
      <c r="E417" s="96" t="s">
        <v>29</v>
      </c>
      <c r="F417" s="97" t="s">
        <v>42</v>
      </c>
      <c r="G417" s="97" t="s">
        <v>293</v>
      </c>
      <c r="H417" s="115">
        <v>44648</v>
      </c>
      <c r="I417" s="99" t="s">
        <v>1031</v>
      </c>
      <c r="J417" s="95">
        <v>12</v>
      </c>
      <c r="K417" s="95">
        <v>17</v>
      </c>
      <c r="L417" s="112">
        <v>39.569270000000003</v>
      </c>
      <c r="M417" s="112">
        <v>-75.591329999999999</v>
      </c>
      <c r="N417" s="101" t="s">
        <v>3206</v>
      </c>
      <c r="O417" s="82" t="s">
        <v>1911</v>
      </c>
      <c r="P417" s="82">
        <v>19706</v>
      </c>
      <c r="R417" s="82" t="s">
        <v>37</v>
      </c>
      <c r="S417" s="82" t="s">
        <v>1035</v>
      </c>
      <c r="T417" s="82" t="s">
        <v>38</v>
      </c>
      <c r="U417" s="97">
        <v>2021</v>
      </c>
      <c r="V417" s="98">
        <v>44476</v>
      </c>
      <c r="W417" s="97" t="s">
        <v>39</v>
      </c>
      <c r="X417" s="97"/>
      <c r="Y417" s="102" t="s">
        <v>3207</v>
      </c>
      <c r="Z417" s="102" t="s">
        <v>3208</v>
      </c>
    </row>
    <row r="418" spans="1:26" s="82" customFormat="1" ht="30" x14ac:dyDescent="0.25">
      <c r="A418" s="82" t="s">
        <v>3209</v>
      </c>
      <c r="B418" s="82" t="s">
        <v>3210</v>
      </c>
      <c r="C418" s="82" t="str">
        <f>A418 &amp; " - " &amp; B418</f>
        <v>NCC-259  - Industrial School for Colored Girls</v>
      </c>
      <c r="D418" s="96" t="s">
        <v>3211</v>
      </c>
      <c r="E418" s="96" t="s">
        <v>29</v>
      </c>
      <c r="F418" s="97" t="s">
        <v>276</v>
      </c>
      <c r="G418" s="97" t="s">
        <v>293</v>
      </c>
      <c r="H418" s="96" t="s">
        <v>613</v>
      </c>
      <c r="I418" s="99" t="s">
        <v>3212</v>
      </c>
      <c r="J418" s="95">
        <v>7</v>
      </c>
      <c r="K418" s="95">
        <v>19</v>
      </c>
      <c r="L418" s="100" t="s">
        <v>3213</v>
      </c>
      <c r="M418" s="100" t="s">
        <v>3214</v>
      </c>
      <c r="N418" s="101" t="s">
        <v>3215</v>
      </c>
      <c r="O418" s="82" t="s">
        <v>1205</v>
      </c>
      <c r="P418" s="82">
        <v>19804</v>
      </c>
      <c r="Q418" s="82" t="s">
        <v>3216</v>
      </c>
      <c r="R418" s="82" t="s">
        <v>3217</v>
      </c>
      <c r="S418" s="82" t="s">
        <v>3218</v>
      </c>
      <c r="T418" s="82" t="s">
        <v>38</v>
      </c>
      <c r="U418" s="97">
        <v>2024</v>
      </c>
      <c r="V418" s="98">
        <v>45526</v>
      </c>
      <c r="W418" s="97" t="s">
        <v>39</v>
      </c>
      <c r="X418" s="97"/>
      <c r="Y418" s="102"/>
      <c r="Z418" s="102"/>
    </row>
    <row r="419" spans="1:26" s="82" customFormat="1" x14ac:dyDescent="0.25">
      <c r="A419" s="7" t="s">
        <v>3219</v>
      </c>
      <c r="B419" s="7" t="s">
        <v>2553</v>
      </c>
      <c r="C419" s="7"/>
      <c r="D419" s="24"/>
      <c r="E419" s="24" t="s">
        <v>66</v>
      </c>
      <c r="F419" s="8"/>
      <c r="G419" s="8"/>
      <c r="H419" s="21"/>
      <c r="I419" s="29"/>
      <c r="J419" s="18"/>
      <c r="K419" s="18"/>
      <c r="L419" s="27"/>
      <c r="M419" s="27"/>
      <c r="N419" s="5"/>
      <c r="O419" s="3"/>
      <c r="P419" s="3"/>
      <c r="Q419" s="3"/>
      <c r="R419" s="3" t="s">
        <v>37</v>
      </c>
      <c r="S419" s="3" t="s">
        <v>1070</v>
      </c>
      <c r="T419" s="3" t="s">
        <v>38</v>
      </c>
      <c r="U419" s="8"/>
      <c r="V419" s="8"/>
      <c r="W419" s="8" t="s">
        <v>39</v>
      </c>
      <c r="X419" s="8"/>
      <c r="Y419" s="4"/>
      <c r="Z419" s="4"/>
    </row>
    <row r="420" spans="1:26" ht="45" x14ac:dyDescent="0.25">
      <c r="A420" s="82" t="s">
        <v>3220</v>
      </c>
      <c r="B420" s="82" t="s">
        <v>3221</v>
      </c>
      <c r="C420" s="82" t="str">
        <f t="shared" ref="C420:C426" si="14">A420 &amp; " - " &amp; B420</f>
        <v>NCC-261  - Augustine Beach</v>
      </c>
      <c r="D420" s="96" t="s">
        <v>3018</v>
      </c>
      <c r="E420" s="96" t="s">
        <v>29</v>
      </c>
      <c r="F420" s="97" t="s">
        <v>30</v>
      </c>
      <c r="G420" s="97"/>
      <c r="H420" s="96" t="s">
        <v>3222</v>
      </c>
      <c r="I420" s="99" t="s">
        <v>3223</v>
      </c>
      <c r="J420" s="95">
        <v>12</v>
      </c>
      <c r="K420" s="95">
        <v>9</v>
      </c>
      <c r="L420" s="100" t="s">
        <v>3224</v>
      </c>
      <c r="M420" s="100" t="s">
        <v>3225</v>
      </c>
      <c r="N420" s="101" t="s">
        <v>3226</v>
      </c>
      <c r="O420" s="82" t="s">
        <v>1290</v>
      </c>
      <c r="P420" s="82">
        <v>19709</v>
      </c>
      <c r="Q420" s="82"/>
      <c r="R420" s="82" t="s">
        <v>37</v>
      </c>
      <c r="S420" s="82" t="s">
        <v>3227</v>
      </c>
      <c r="T420" s="82" t="s">
        <v>38</v>
      </c>
      <c r="U420" s="97">
        <v>2021</v>
      </c>
      <c r="V420" s="98">
        <v>44440</v>
      </c>
      <c r="W420" s="97" t="s">
        <v>1292</v>
      </c>
      <c r="X420" s="97"/>
      <c r="Y420" s="102" t="s">
        <v>3228</v>
      </c>
      <c r="Z420" s="102" t="s">
        <v>3229</v>
      </c>
    </row>
    <row r="421" spans="1:26" s="82" customFormat="1" ht="23.25" customHeight="1" x14ac:dyDescent="0.25">
      <c r="A421" s="7" t="s">
        <v>3230</v>
      </c>
      <c r="B421" s="7" t="s">
        <v>3231</v>
      </c>
      <c r="C421" s="7" t="str">
        <f t="shared" si="14"/>
        <v>NCC-262   - Wilmington Park</v>
      </c>
      <c r="D421" s="21"/>
      <c r="E421" s="21" t="s">
        <v>1070</v>
      </c>
      <c r="F421" s="8" t="s">
        <v>30</v>
      </c>
      <c r="G421" s="8"/>
      <c r="H421" s="21"/>
      <c r="I421" s="29"/>
      <c r="J421" s="18"/>
      <c r="K421" s="18"/>
      <c r="L421" s="27"/>
      <c r="M421" s="27"/>
      <c r="N421" s="5"/>
      <c r="O421" s="3"/>
      <c r="P421" s="3"/>
      <c r="Q421" s="3"/>
      <c r="R421" s="3" t="s">
        <v>37</v>
      </c>
      <c r="S421" s="3" t="s">
        <v>1070</v>
      </c>
      <c r="T421" s="3" t="s">
        <v>38</v>
      </c>
      <c r="U421" s="8"/>
      <c r="V421" s="8"/>
      <c r="W421" s="8" t="s">
        <v>39</v>
      </c>
      <c r="X421" s="8"/>
      <c r="Y421" s="4"/>
      <c r="Z421" s="4"/>
    </row>
    <row r="422" spans="1:26" ht="75" x14ac:dyDescent="0.25">
      <c r="A422" s="82" t="s">
        <v>3232</v>
      </c>
      <c r="B422" s="82" t="s">
        <v>3233</v>
      </c>
      <c r="C422" s="82" t="str">
        <f t="shared" si="14"/>
        <v>NCC-263  - Absalom Jones School</v>
      </c>
      <c r="D422" s="115" t="s">
        <v>3234</v>
      </c>
      <c r="E422" s="96" t="s">
        <v>29</v>
      </c>
      <c r="F422" s="97" t="s">
        <v>276</v>
      </c>
      <c r="G422" s="97" t="s">
        <v>293</v>
      </c>
      <c r="H422" s="96" t="s">
        <v>613</v>
      </c>
      <c r="I422" s="99" t="s">
        <v>3235</v>
      </c>
      <c r="J422" s="95">
        <v>9</v>
      </c>
      <c r="K422" s="95">
        <v>19</v>
      </c>
      <c r="L422" s="100" t="s">
        <v>3236</v>
      </c>
      <c r="M422" s="100" t="s">
        <v>3237</v>
      </c>
      <c r="N422" s="101" t="s">
        <v>3238</v>
      </c>
      <c r="O422" s="82" t="s">
        <v>1205</v>
      </c>
      <c r="P422" s="82">
        <v>19804</v>
      </c>
      <c r="Q422" s="82" t="s">
        <v>3239</v>
      </c>
      <c r="R422" s="82" t="s">
        <v>3240</v>
      </c>
      <c r="S422" s="82"/>
      <c r="T422" s="82" t="s">
        <v>38</v>
      </c>
      <c r="U422" s="97">
        <v>2024</v>
      </c>
      <c r="V422" s="98">
        <v>45512</v>
      </c>
      <c r="W422" s="97" t="s">
        <v>39</v>
      </c>
      <c r="X422" s="97"/>
      <c r="Y422" s="102"/>
      <c r="Z422" s="102"/>
    </row>
    <row r="423" spans="1:26" s="82" customFormat="1" ht="45" x14ac:dyDescent="0.25">
      <c r="A423" s="82" t="s">
        <v>3241</v>
      </c>
      <c r="B423" s="82" t="s">
        <v>3242</v>
      </c>
      <c r="C423" s="82" t="str">
        <f t="shared" si="14"/>
        <v>NCC-264  - General Weedon's Foray at Spring Grove</v>
      </c>
      <c r="D423" s="96" t="s">
        <v>3243</v>
      </c>
      <c r="E423" s="96" t="s">
        <v>29</v>
      </c>
      <c r="F423" s="97" t="s">
        <v>30</v>
      </c>
      <c r="G423" s="97"/>
      <c r="H423" s="96" t="s">
        <v>913</v>
      </c>
      <c r="I423" s="99" t="s">
        <v>3244</v>
      </c>
      <c r="J423" s="95">
        <v>4</v>
      </c>
      <c r="K423" s="95">
        <v>21</v>
      </c>
      <c r="L423" s="100" t="s">
        <v>3245</v>
      </c>
      <c r="M423" s="100" t="s">
        <v>3246</v>
      </c>
      <c r="N423" s="101" t="s">
        <v>3247</v>
      </c>
      <c r="O423" s="82" t="s">
        <v>1205</v>
      </c>
      <c r="P423" s="82">
        <v>19808</v>
      </c>
      <c r="R423" s="82" t="s">
        <v>37</v>
      </c>
      <c r="S423" s="82" t="s">
        <v>3248</v>
      </c>
      <c r="T423" s="82" t="s">
        <v>38</v>
      </c>
      <c r="U423" s="97">
        <v>2023</v>
      </c>
      <c r="V423" s="98">
        <v>45127</v>
      </c>
      <c r="W423" s="97" t="s">
        <v>39</v>
      </c>
      <c r="X423" s="97"/>
      <c r="Y423" s="102" t="s">
        <v>3249</v>
      </c>
      <c r="Z423" s="102" t="s">
        <v>3250</v>
      </c>
    </row>
    <row r="424" spans="1:26" s="82" customFormat="1" ht="45" x14ac:dyDescent="0.25">
      <c r="A424" s="82" t="s">
        <v>3251</v>
      </c>
      <c r="B424" s="82" t="s">
        <v>3252</v>
      </c>
      <c r="C424" s="82" t="str">
        <f t="shared" si="14"/>
        <v>NCC-A1  - Holy Trinity Church</v>
      </c>
      <c r="D424" s="96" t="s">
        <v>3253</v>
      </c>
      <c r="E424" s="96" t="s">
        <v>29</v>
      </c>
      <c r="F424" s="97" t="s">
        <v>191</v>
      </c>
      <c r="G424" s="97"/>
      <c r="H424" s="96" t="s">
        <v>541</v>
      </c>
      <c r="I424" s="99" t="s">
        <v>1181</v>
      </c>
      <c r="J424" s="95">
        <v>2</v>
      </c>
      <c r="K424" s="95">
        <v>2</v>
      </c>
      <c r="L424" s="100" t="s">
        <v>3254</v>
      </c>
      <c r="M424" s="100" t="s">
        <v>3255</v>
      </c>
      <c r="N424" s="101" t="s">
        <v>3256</v>
      </c>
      <c r="O424" s="82" t="s">
        <v>1205</v>
      </c>
      <c r="P424" s="82">
        <v>19801</v>
      </c>
      <c r="R424" s="82" t="s">
        <v>37</v>
      </c>
      <c r="S424" s="82" t="s">
        <v>3257</v>
      </c>
      <c r="T424" s="82" t="s">
        <v>1092</v>
      </c>
      <c r="U424" s="97">
        <v>1932</v>
      </c>
      <c r="V424" s="97" t="s">
        <v>66</v>
      </c>
      <c r="W424" s="97" t="s">
        <v>66</v>
      </c>
      <c r="X424" s="97"/>
      <c r="Y424" s="102" t="s">
        <v>3258</v>
      </c>
      <c r="Z424" s="102" t="s">
        <v>3259</v>
      </c>
    </row>
    <row r="425" spans="1:26" s="82" customFormat="1" ht="45" x14ac:dyDescent="0.25">
      <c r="A425" s="82" t="s">
        <v>3260</v>
      </c>
      <c r="B425" s="82" t="s">
        <v>3261</v>
      </c>
      <c r="C425" s="82" t="str">
        <f t="shared" si="14"/>
        <v>NCC-A10  - Asbury Methodist Episcopal Church</v>
      </c>
      <c r="D425" s="96" t="s">
        <v>3262</v>
      </c>
      <c r="E425" s="96" t="s">
        <v>346</v>
      </c>
      <c r="F425" s="97" t="s">
        <v>191</v>
      </c>
      <c r="G425" s="97"/>
      <c r="H425" s="96" t="s">
        <v>354</v>
      </c>
      <c r="I425" s="99" t="s">
        <v>1181</v>
      </c>
      <c r="J425" s="95">
        <v>7</v>
      </c>
      <c r="K425" s="95">
        <v>13</v>
      </c>
      <c r="L425" s="100" t="s">
        <v>3263</v>
      </c>
      <c r="M425" s="100" t="s">
        <v>3264</v>
      </c>
      <c r="N425" s="101" t="s">
        <v>3265</v>
      </c>
      <c r="O425" s="82" t="s">
        <v>1205</v>
      </c>
      <c r="P425" s="82">
        <v>19801</v>
      </c>
      <c r="Q425" s="82" t="s">
        <v>3266</v>
      </c>
      <c r="R425" s="82" t="s">
        <v>37</v>
      </c>
      <c r="S425" s="82" t="s">
        <v>3257</v>
      </c>
      <c r="T425" s="82" t="s">
        <v>1092</v>
      </c>
      <c r="U425" s="97">
        <v>1932</v>
      </c>
      <c r="V425" s="97"/>
      <c r="W425" s="97"/>
      <c r="X425" s="97"/>
      <c r="Y425" s="102" t="s">
        <v>3267</v>
      </c>
      <c r="Z425" s="102" t="s">
        <v>3268</v>
      </c>
    </row>
    <row r="426" spans="1:26" s="82" customFormat="1" ht="30" x14ac:dyDescent="0.25">
      <c r="A426" s="82" t="s">
        <v>3269</v>
      </c>
      <c r="B426" s="82" t="s">
        <v>1277</v>
      </c>
      <c r="C426" s="82" t="str">
        <f t="shared" si="14"/>
        <v>NCC-A11  - Buena Vista</v>
      </c>
      <c r="D426" s="96" t="s">
        <v>3270</v>
      </c>
      <c r="E426" s="96" t="s">
        <v>29</v>
      </c>
      <c r="F426" s="97" t="s">
        <v>30</v>
      </c>
      <c r="G426" s="97"/>
      <c r="H426" s="96"/>
      <c r="I426" s="99"/>
      <c r="J426" s="95">
        <v>13</v>
      </c>
      <c r="K426" s="95">
        <v>5</v>
      </c>
      <c r="L426" s="100" t="s">
        <v>3271</v>
      </c>
      <c r="M426" s="100" t="s">
        <v>3272</v>
      </c>
      <c r="N426" s="101" t="s">
        <v>1281</v>
      </c>
      <c r="O426" s="82" t="s">
        <v>1268</v>
      </c>
      <c r="P426" s="82">
        <v>19720</v>
      </c>
      <c r="R426" s="82" t="s">
        <v>37</v>
      </c>
      <c r="T426" s="82" t="s">
        <v>1092</v>
      </c>
      <c r="U426" s="97">
        <v>1932</v>
      </c>
      <c r="V426" s="97"/>
      <c r="W426" s="97"/>
      <c r="X426" s="97"/>
      <c r="Y426" s="102"/>
      <c r="Z426" s="102"/>
    </row>
    <row r="427" spans="1:26" s="81" customFormat="1" ht="90" x14ac:dyDescent="0.25">
      <c r="A427" s="82" t="s">
        <v>3273</v>
      </c>
      <c r="B427" s="82" t="s">
        <v>3274</v>
      </c>
      <c r="C427" s="82" t="s">
        <v>3275</v>
      </c>
      <c r="D427" s="96" t="s">
        <v>3276</v>
      </c>
      <c r="E427" s="96" t="s">
        <v>29</v>
      </c>
      <c r="F427" s="97" t="s">
        <v>30</v>
      </c>
      <c r="G427" s="97"/>
      <c r="H427" s="96" t="s">
        <v>913</v>
      </c>
      <c r="I427" s="99" t="s">
        <v>1181</v>
      </c>
      <c r="J427" s="95">
        <v>9</v>
      </c>
      <c r="K427" s="95">
        <v>18</v>
      </c>
      <c r="L427" s="100" t="s">
        <v>3277</v>
      </c>
      <c r="M427" s="100" t="s">
        <v>3278</v>
      </c>
      <c r="N427" s="101" t="s">
        <v>3279</v>
      </c>
      <c r="O427" s="82" t="s">
        <v>1428</v>
      </c>
      <c r="P427" s="82">
        <v>19702</v>
      </c>
      <c r="Q427" s="82"/>
      <c r="R427" s="82" t="s">
        <v>37</v>
      </c>
      <c r="S427" s="82" t="s">
        <v>3280</v>
      </c>
      <c r="T427" s="82" t="s">
        <v>1092</v>
      </c>
      <c r="U427" s="97">
        <v>1933</v>
      </c>
      <c r="V427" s="97"/>
      <c r="W427" s="97"/>
      <c r="X427" s="97"/>
      <c r="Y427" s="102" t="s">
        <v>3281</v>
      </c>
      <c r="Z427" s="102" t="s">
        <v>3282</v>
      </c>
    </row>
    <row r="428" spans="1:26" s="82" customFormat="1" ht="45" x14ac:dyDescent="0.25">
      <c r="A428" s="82" t="s">
        <v>3283</v>
      </c>
      <c r="B428" s="82" t="s">
        <v>3284</v>
      </c>
      <c r="C428" s="82" t="s">
        <v>3285</v>
      </c>
      <c r="D428" s="96" t="s">
        <v>1948</v>
      </c>
      <c r="E428" s="96" t="s">
        <v>29</v>
      </c>
      <c r="F428" s="97" t="s">
        <v>30</v>
      </c>
      <c r="G428" s="97"/>
      <c r="H428" s="96" t="s">
        <v>63</v>
      </c>
      <c r="I428" s="99" t="s">
        <v>1124</v>
      </c>
      <c r="J428" s="95">
        <v>3</v>
      </c>
      <c r="K428" s="95">
        <v>2</v>
      </c>
      <c r="L428" s="100" t="s">
        <v>3286</v>
      </c>
      <c r="M428" s="100" t="s">
        <v>3287</v>
      </c>
      <c r="N428" s="101" t="s">
        <v>3288</v>
      </c>
      <c r="O428" s="82" t="s">
        <v>1205</v>
      </c>
      <c r="P428" s="82">
        <v>19801</v>
      </c>
      <c r="R428" s="82" t="s">
        <v>37</v>
      </c>
      <c r="S428" s="82" t="s">
        <v>3289</v>
      </c>
      <c r="T428" s="82" t="s">
        <v>1092</v>
      </c>
      <c r="U428" s="97">
        <v>1932</v>
      </c>
      <c r="V428" s="97"/>
      <c r="W428" s="97"/>
      <c r="X428" s="97"/>
      <c r="Y428" s="103" t="s">
        <v>3290</v>
      </c>
      <c r="Z428" s="102" t="s">
        <v>3291</v>
      </c>
    </row>
    <row r="429" spans="1:26" s="82" customFormat="1" ht="30" x14ac:dyDescent="0.25">
      <c r="A429" s="82" t="s">
        <v>3292</v>
      </c>
      <c r="B429" s="82" t="s">
        <v>3293</v>
      </c>
      <c r="C429" s="82" t="s">
        <v>3294</v>
      </c>
      <c r="D429" s="96" t="s">
        <v>3295</v>
      </c>
      <c r="E429" s="96" t="s">
        <v>29</v>
      </c>
      <c r="F429" s="97" t="s">
        <v>30</v>
      </c>
      <c r="G429" s="97"/>
      <c r="H429" s="96"/>
      <c r="I429" s="99" t="s">
        <v>1124</v>
      </c>
      <c r="J429" s="95">
        <v>11</v>
      </c>
      <c r="K429" s="95">
        <v>25</v>
      </c>
      <c r="L429" s="100" t="s">
        <v>3296</v>
      </c>
      <c r="M429" s="100" t="s">
        <v>3297</v>
      </c>
      <c r="N429" s="101" t="s">
        <v>3298</v>
      </c>
      <c r="O429" s="82" t="s">
        <v>1428</v>
      </c>
      <c r="P429" s="82">
        <v>19702</v>
      </c>
      <c r="R429" s="82" t="s">
        <v>37</v>
      </c>
      <c r="S429" s="82" t="s">
        <v>3299</v>
      </c>
      <c r="T429" s="82" t="s">
        <v>1092</v>
      </c>
      <c r="U429" s="97">
        <v>1932</v>
      </c>
      <c r="V429" s="97"/>
      <c r="W429" s="97"/>
      <c r="X429" s="97"/>
      <c r="Y429" s="102"/>
      <c r="Z429" s="102"/>
    </row>
    <row r="430" spans="1:26" s="82" customFormat="1" ht="30" x14ac:dyDescent="0.25">
      <c r="A430" s="82" t="s">
        <v>3300</v>
      </c>
      <c r="B430" s="82" t="s">
        <v>3301</v>
      </c>
      <c r="C430" s="82" t="s">
        <v>3302</v>
      </c>
      <c r="D430" s="96" t="s">
        <v>3303</v>
      </c>
      <c r="E430" s="96" t="s">
        <v>29</v>
      </c>
      <c r="F430" s="97" t="s">
        <v>30</v>
      </c>
      <c r="G430" s="97"/>
      <c r="H430" s="96"/>
      <c r="I430" s="99"/>
      <c r="J430" s="95"/>
      <c r="K430" s="95"/>
      <c r="L430" s="100" t="s">
        <v>3304</v>
      </c>
      <c r="M430" s="100" t="s">
        <v>1344</v>
      </c>
      <c r="N430" s="101" t="s">
        <v>3305</v>
      </c>
      <c r="O430" s="82" t="s">
        <v>1205</v>
      </c>
      <c r="Q430" s="82" t="s">
        <v>3301</v>
      </c>
      <c r="R430" s="82" t="s">
        <v>37</v>
      </c>
      <c r="S430" s="82" t="s">
        <v>3306</v>
      </c>
      <c r="T430" s="82" t="s">
        <v>1092</v>
      </c>
      <c r="U430" s="97" t="s">
        <v>3307</v>
      </c>
      <c r="V430" s="97"/>
      <c r="W430" s="97"/>
      <c r="X430" s="97">
        <v>1953</v>
      </c>
      <c r="Y430" s="102"/>
      <c r="Z430" s="102"/>
    </row>
    <row r="431" spans="1:26" s="82" customFormat="1" ht="45" x14ac:dyDescent="0.25">
      <c r="A431" s="149" t="s">
        <v>3308</v>
      </c>
      <c r="B431" s="149" t="s">
        <v>2328</v>
      </c>
      <c r="C431" s="149" t="s">
        <v>3309</v>
      </c>
      <c r="D431" s="151" t="s">
        <v>3310</v>
      </c>
      <c r="E431" s="151" t="s">
        <v>66</v>
      </c>
      <c r="F431" s="152" t="s">
        <v>30</v>
      </c>
      <c r="G431" s="152"/>
      <c r="H431" s="151"/>
      <c r="I431" s="153"/>
      <c r="J431" s="150"/>
      <c r="K431" s="150"/>
      <c r="L431" s="154"/>
      <c r="M431" s="154"/>
      <c r="N431" s="156"/>
      <c r="O431" s="149"/>
      <c r="P431" s="149"/>
      <c r="Q431" s="149"/>
      <c r="R431" s="149" t="s">
        <v>37</v>
      </c>
      <c r="S431" s="149" t="s">
        <v>3311</v>
      </c>
      <c r="T431" s="149" t="s">
        <v>1092</v>
      </c>
      <c r="U431" s="152">
        <v>1932</v>
      </c>
      <c r="V431" s="152"/>
      <c r="W431" s="152"/>
      <c r="X431" s="152"/>
      <c r="Y431" s="155"/>
      <c r="Z431" s="155"/>
    </row>
    <row r="432" spans="1:26" s="82" customFormat="1" ht="60" x14ac:dyDescent="0.25">
      <c r="A432" s="149" t="s">
        <v>3312</v>
      </c>
      <c r="B432" s="149" t="s">
        <v>3313</v>
      </c>
      <c r="C432" s="149" t="s">
        <v>3314</v>
      </c>
      <c r="D432" s="151" t="s">
        <v>3315</v>
      </c>
      <c r="E432" s="151" t="s">
        <v>66</v>
      </c>
      <c r="F432" s="152" t="s">
        <v>30</v>
      </c>
      <c r="G432" s="152"/>
      <c r="H432" s="151"/>
      <c r="I432" s="153"/>
      <c r="J432" s="150"/>
      <c r="K432" s="150"/>
      <c r="L432" s="154"/>
      <c r="M432" s="154"/>
      <c r="N432" s="156"/>
      <c r="O432" s="149"/>
      <c r="P432" s="149"/>
      <c r="Q432" s="149"/>
      <c r="R432" s="149" t="s">
        <v>37</v>
      </c>
      <c r="S432" s="149" t="s">
        <v>3316</v>
      </c>
      <c r="T432" s="149" t="s">
        <v>1092</v>
      </c>
      <c r="U432" s="152">
        <v>1932</v>
      </c>
      <c r="V432" s="152"/>
      <c r="W432" s="152"/>
      <c r="X432" s="152"/>
      <c r="Y432" s="155"/>
      <c r="Z432" s="155"/>
    </row>
    <row r="433" spans="1:26" s="82" customFormat="1" ht="60" x14ac:dyDescent="0.25">
      <c r="A433" s="82" t="s">
        <v>3317</v>
      </c>
      <c r="B433" s="82" t="s">
        <v>3318</v>
      </c>
      <c r="C433" s="82" t="s">
        <v>3319</v>
      </c>
      <c r="D433" s="96" t="s">
        <v>3320</v>
      </c>
      <c r="E433" s="96" t="s">
        <v>29</v>
      </c>
      <c r="F433" s="97" t="s">
        <v>30</v>
      </c>
      <c r="G433" s="97"/>
      <c r="H433" s="96" t="s">
        <v>92</v>
      </c>
      <c r="I433" s="99" t="s">
        <v>3321</v>
      </c>
      <c r="J433" s="95">
        <v>2</v>
      </c>
      <c r="K433" s="95">
        <v>2</v>
      </c>
      <c r="L433" s="100" t="s">
        <v>1757</v>
      </c>
      <c r="M433" s="100" t="s">
        <v>3322</v>
      </c>
      <c r="N433" s="101" t="s">
        <v>1759</v>
      </c>
      <c r="O433" s="82" t="s">
        <v>1205</v>
      </c>
      <c r="P433" s="82">
        <v>19802</v>
      </c>
      <c r="Q433" s="82" t="s">
        <v>3323</v>
      </c>
      <c r="R433" s="82" t="s">
        <v>37</v>
      </c>
      <c r="S433" s="82" t="s">
        <v>3324</v>
      </c>
      <c r="T433" s="82" t="s">
        <v>3325</v>
      </c>
      <c r="U433" s="97"/>
      <c r="V433" s="97"/>
      <c r="W433" s="97"/>
      <c r="X433" s="97"/>
      <c r="Y433" s="102"/>
      <c r="Z433" s="102"/>
    </row>
    <row r="434" spans="1:26" s="82" customFormat="1" ht="45" x14ac:dyDescent="0.25">
      <c r="A434" s="82" t="s">
        <v>3326</v>
      </c>
      <c r="B434" s="82" t="s">
        <v>3327</v>
      </c>
      <c r="C434" s="82" t="str">
        <f t="shared" ref="C434:C465" si="15">A434 &amp; " - " &amp; B434</f>
        <v>NCC-A2  - Joseph Tatnall House</v>
      </c>
      <c r="D434" s="96" t="s">
        <v>3328</v>
      </c>
      <c r="E434" s="96" t="s">
        <v>130</v>
      </c>
      <c r="F434" s="97" t="s">
        <v>30</v>
      </c>
      <c r="G434" s="97"/>
      <c r="H434" s="96" t="s">
        <v>774</v>
      </c>
      <c r="I434" s="99" t="s">
        <v>1181</v>
      </c>
      <c r="J434" s="95">
        <v>1</v>
      </c>
      <c r="K434" s="95">
        <v>1</v>
      </c>
      <c r="L434" s="100" t="s">
        <v>3329</v>
      </c>
      <c r="M434" s="100" t="s">
        <v>3330</v>
      </c>
      <c r="N434" s="101" t="s">
        <v>3331</v>
      </c>
      <c r="O434" s="82" t="s">
        <v>1205</v>
      </c>
      <c r="P434" s="82">
        <v>19802</v>
      </c>
      <c r="R434" s="82" t="s">
        <v>37</v>
      </c>
      <c r="S434" s="82" t="s">
        <v>3257</v>
      </c>
      <c r="T434" s="82" t="s">
        <v>1092</v>
      </c>
      <c r="U434" s="97">
        <v>1932</v>
      </c>
      <c r="V434" s="97" t="s">
        <v>66</v>
      </c>
      <c r="W434" s="97" t="s">
        <v>66</v>
      </c>
      <c r="X434" s="97"/>
      <c r="Y434" s="102" t="s">
        <v>3332</v>
      </c>
      <c r="Z434" s="102" t="s">
        <v>3333</v>
      </c>
    </row>
    <row r="435" spans="1:26" s="82" customFormat="1" ht="51" x14ac:dyDescent="0.25">
      <c r="A435" s="82" t="s">
        <v>3334</v>
      </c>
      <c r="B435" s="82" t="s">
        <v>3335</v>
      </c>
      <c r="C435" s="82" t="str">
        <f t="shared" si="15"/>
        <v>NCC-A3  - Old College, UD Newark</v>
      </c>
      <c r="D435" s="84" t="s">
        <v>3336</v>
      </c>
      <c r="E435" s="84" t="s">
        <v>29</v>
      </c>
      <c r="F435" s="85" t="s">
        <v>276</v>
      </c>
      <c r="G435" s="85"/>
      <c r="H435" s="84" t="s">
        <v>3337</v>
      </c>
      <c r="I435" s="86" t="s">
        <v>1181</v>
      </c>
      <c r="J435" s="83">
        <v>8</v>
      </c>
      <c r="K435" s="83">
        <v>23</v>
      </c>
      <c r="L435" s="87" t="s">
        <v>3338</v>
      </c>
      <c r="M435" s="87" t="s">
        <v>3339</v>
      </c>
      <c r="N435" s="88" t="s">
        <v>3340</v>
      </c>
      <c r="O435" s="81" t="s">
        <v>1428</v>
      </c>
      <c r="P435" s="81">
        <v>19711</v>
      </c>
      <c r="Q435" s="81"/>
      <c r="R435" s="81" t="s">
        <v>37</v>
      </c>
      <c r="S435" s="81" t="s">
        <v>3257</v>
      </c>
      <c r="T435" s="81" t="s">
        <v>1092</v>
      </c>
      <c r="U435" s="85">
        <v>1933</v>
      </c>
      <c r="V435" s="85" t="s">
        <v>66</v>
      </c>
      <c r="W435" s="85" t="s">
        <v>66</v>
      </c>
      <c r="X435" s="85"/>
      <c r="Y435" s="131" t="s">
        <v>3341</v>
      </c>
      <c r="Z435" s="89" t="s">
        <v>3342</v>
      </c>
    </row>
    <row r="436" spans="1:26" s="82" customFormat="1" ht="45" x14ac:dyDescent="0.25">
      <c r="A436" s="82" t="s">
        <v>3343</v>
      </c>
      <c r="B436" s="82" t="s">
        <v>3344</v>
      </c>
      <c r="C436" s="82" t="str">
        <f t="shared" si="15"/>
        <v>NCC-A4  - John Dickinson</v>
      </c>
      <c r="D436" s="96" t="s">
        <v>1827</v>
      </c>
      <c r="E436" s="96" t="s">
        <v>29</v>
      </c>
      <c r="F436" s="97" t="s">
        <v>62</v>
      </c>
      <c r="G436" s="97"/>
      <c r="H436" s="96" t="s">
        <v>153</v>
      </c>
      <c r="I436" s="99" t="s">
        <v>1181</v>
      </c>
      <c r="J436" s="95">
        <v>3</v>
      </c>
      <c r="K436" s="95">
        <v>3</v>
      </c>
      <c r="L436" s="100" t="s">
        <v>3345</v>
      </c>
      <c r="M436" s="100" t="s">
        <v>3346</v>
      </c>
      <c r="N436" s="101" t="s">
        <v>3347</v>
      </c>
      <c r="O436" s="82" t="s">
        <v>1205</v>
      </c>
      <c r="P436" s="82">
        <v>19801</v>
      </c>
      <c r="R436" s="82" t="s">
        <v>37</v>
      </c>
      <c r="S436" s="82" t="s">
        <v>3348</v>
      </c>
      <c r="T436" s="82" t="s">
        <v>1092</v>
      </c>
      <c r="U436" s="97">
        <v>1933</v>
      </c>
      <c r="V436" s="97" t="s">
        <v>66</v>
      </c>
      <c r="W436" s="97" t="s">
        <v>66</v>
      </c>
      <c r="X436" s="97"/>
      <c r="Y436" s="103" t="s">
        <v>3349</v>
      </c>
      <c r="Z436" s="102" t="s">
        <v>3350</v>
      </c>
    </row>
    <row r="437" spans="1:26" s="82" customFormat="1" ht="51" x14ac:dyDescent="0.25">
      <c r="A437" s="82" t="s">
        <v>3351</v>
      </c>
      <c r="B437" s="82" t="s">
        <v>3352</v>
      </c>
      <c r="C437" s="82" t="str">
        <f t="shared" si="15"/>
        <v>NCC-A5  - Van Dyke House</v>
      </c>
      <c r="D437" s="96" t="s">
        <v>3353</v>
      </c>
      <c r="E437" s="96" t="s">
        <v>29</v>
      </c>
      <c r="F437" s="97" t="s">
        <v>30</v>
      </c>
      <c r="G437" s="97"/>
      <c r="H437" s="96" t="s">
        <v>3354</v>
      </c>
      <c r="I437" s="99" t="s">
        <v>1181</v>
      </c>
      <c r="J437" s="95">
        <v>12</v>
      </c>
      <c r="K437" s="95">
        <v>17</v>
      </c>
      <c r="L437" s="100" t="s">
        <v>3355</v>
      </c>
      <c r="M437" s="100" t="s">
        <v>3356</v>
      </c>
      <c r="N437" s="101" t="s">
        <v>3357</v>
      </c>
      <c r="O437" s="82" t="s">
        <v>1268</v>
      </c>
      <c r="P437" s="82">
        <v>19720</v>
      </c>
      <c r="R437" s="82" t="s">
        <v>37</v>
      </c>
      <c r="S437" s="82" t="s">
        <v>3257</v>
      </c>
      <c r="T437" s="82" t="s">
        <v>1092</v>
      </c>
      <c r="U437" s="97">
        <v>1932</v>
      </c>
      <c r="V437" s="97" t="s">
        <v>66</v>
      </c>
      <c r="W437" s="97" t="s">
        <v>66</v>
      </c>
      <c r="X437" s="97"/>
      <c r="Y437" s="102" t="s">
        <v>3358</v>
      </c>
      <c r="Z437" s="102" t="s">
        <v>3359</v>
      </c>
    </row>
    <row r="438" spans="1:26" s="82" customFormat="1" ht="45" x14ac:dyDescent="0.25">
      <c r="A438" s="82" t="s">
        <v>3360</v>
      </c>
      <c r="B438" s="82" t="s">
        <v>3361</v>
      </c>
      <c r="C438" s="82" t="str">
        <f t="shared" si="15"/>
        <v>NCC-A6  - Historic Museum / Amstel House</v>
      </c>
      <c r="D438" s="96" t="s">
        <v>1710</v>
      </c>
      <c r="E438" s="96" t="s">
        <v>29</v>
      </c>
      <c r="F438" s="97" t="s">
        <v>30</v>
      </c>
      <c r="G438" s="97"/>
      <c r="H438" s="96" t="s">
        <v>419</v>
      </c>
      <c r="I438" s="99" t="s">
        <v>1181</v>
      </c>
      <c r="J438" s="95">
        <v>12</v>
      </c>
      <c r="K438" s="95">
        <v>16</v>
      </c>
      <c r="L438" s="100" t="s">
        <v>3362</v>
      </c>
      <c r="M438" s="100" t="s">
        <v>3363</v>
      </c>
      <c r="N438" s="101" t="s">
        <v>3364</v>
      </c>
      <c r="O438" s="82" t="s">
        <v>1268</v>
      </c>
      <c r="P438" s="82">
        <v>19720</v>
      </c>
      <c r="R438" s="82" t="s">
        <v>37</v>
      </c>
      <c r="S438" s="82" t="s">
        <v>3365</v>
      </c>
      <c r="T438" s="82" t="s">
        <v>1092</v>
      </c>
      <c r="U438" s="97">
        <v>1932</v>
      </c>
      <c r="V438" s="97" t="s">
        <v>66</v>
      </c>
      <c r="W438" s="97" t="s">
        <v>66</v>
      </c>
      <c r="X438" s="97"/>
      <c r="Y438" s="102" t="s">
        <v>3366</v>
      </c>
      <c r="Z438" s="102" t="s">
        <v>3367</v>
      </c>
    </row>
    <row r="439" spans="1:26" s="82" customFormat="1" ht="30" x14ac:dyDescent="0.25">
      <c r="A439" s="82" t="s">
        <v>3368</v>
      </c>
      <c r="B439" s="82" t="s">
        <v>3369</v>
      </c>
      <c r="C439" s="82" t="str">
        <f t="shared" si="15"/>
        <v>NCC-A7  - Battle of Cooch's Bridge</v>
      </c>
      <c r="D439" s="96" t="s">
        <v>1530</v>
      </c>
      <c r="E439" s="96" t="s">
        <v>29</v>
      </c>
      <c r="F439" s="97" t="s">
        <v>30</v>
      </c>
      <c r="G439" s="97"/>
      <c r="H439" s="96" t="s">
        <v>84</v>
      </c>
      <c r="I439" s="99" t="s">
        <v>1181</v>
      </c>
      <c r="J439" s="95">
        <v>11</v>
      </c>
      <c r="K439" s="95">
        <v>25</v>
      </c>
      <c r="L439" s="100" t="s">
        <v>3370</v>
      </c>
      <c r="M439" s="100" t="s">
        <v>3371</v>
      </c>
      <c r="N439" s="101" t="s">
        <v>3372</v>
      </c>
      <c r="O439" s="82" t="s">
        <v>1428</v>
      </c>
      <c r="P439" s="82">
        <v>19702</v>
      </c>
      <c r="R439" s="82" t="s">
        <v>37</v>
      </c>
      <c r="S439" s="82" t="s">
        <v>3257</v>
      </c>
      <c r="T439" s="82" t="s">
        <v>1092</v>
      </c>
      <c r="U439" s="97">
        <v>1932</v>
      </c>
      <c r="V439" s="97" t="s">
        <v>66</v>
      </c>
      <c r="W439" s="97" t="s">
        <v>66</v>
      </c>
      <c r="X439" s="97"/>
      <c r="Y439" s="102"/>
      <c r="Z439" s="102"/>
    </row>
    <row r="440" spans="1:26" s="149" customFormat="1" ht="45" x14ac:dyDescent="0.25">
      <c r="A440" s="82" t="s">
        <v>3373</v>
      </c>
      <c r="B440" s="82" t="s">
        <v>3374</v>
      </c>
      <c r="C440" s="82" t="str">
        <f t="shared" si="15"/>
        <v>NCC-A8  - Site of the Home of George Read</v>
      </c>
      <c r="D440" s="96" t="s">
        <v>3375</v>
      </c>
      <c r="E440" s="96" t="s">
        <v>130</v>
      </c>
      <c r="F440" s="97" t="s">
        <v>1140</v>
      </c>
      <c r="G440" s="97"/>
      <c r="H440" s="96" t="s">
        <v>628</v>
      </c>
      <c r="I440" s="99" t="s">
        <v>1181</v>
      </c>
      <c r="J440" s="95">
        <v>12</v>
      </c>
      <c r="K440" s="95">
        <v>16</v>
      </c>
      <c r="L440" s="100" t="s">
        <v>3376</v>
      </c>
      <c r="M440" s="100" t="s">
        <v>3377</v>
      </c>
      <c r="N440" s="101" t="s">
        <v>3378</v>
      </c>
      <c r="O440" s="82" t="s">
        <v>1268</v>
      </c>
      <c r="P440" s="82">
        <v>19720</v>
      </c>
      <c r="Q440" s="82"/>
      <c r="R440" s="82" t="s">
        <v>37</v>
      </c>
      <c r="S440" s="82" t="s">
        <v>3257</v>
      </c>
      <c r="T440" s="82" t="s">
        <v>1092</v>
      </c>
      <c r="U440" s="97">
        <v>1933</v>
      </c>
      <c r="V440" s="97" t="s">
        <v>66</v>
      </c>
      <c r="W440" s="97" t="s">
        <v>66</v>
      </c>
      <c r="X440" s="97"/>
      <c r="Y440" s="102" t="s">
        <v>3379</v>
      </c>
      <c r="Z440" s="102" t="s">
        <v>3380</v>
      </c>
    </row>
    <row r="441" spans="1:26" s="149" customFormat="1" ht="30" x14ac:dyDescent="0.25">
      <c r="A441" s="82" t="s">
        <v>3381</v>
      </c>
      <c r="B441" s="82" t="s">
        <v>3382</v>
      </c>
      <c r="C441" s="82" t="str">
        <f t="shared" si="15"/>
        <v>NCC-A9  - Gunning Bedford House</v>
      </c>
      <c r="D441" s="96" t="s">
        <v>3383</v>
      </c>
      <c r="E441" s="96" t="s">
        <v>29</v>
      </c>
      <c r="F441" s="97" t="s">
        <v>30</v>
      </c>
      <c r="G441" s="97"/>
      <c r="H441" s="96" t="s">
        <v>3384</v>
      </c>
      <c r="I441" s="99" t="s">
        <v>1181</v>
      </c>
      <c r="J441" s="95">
        <v>12</v>
      </c>
      <c r="K441" s="95">
        <v>16</v>
      </c>
      <c r="L441" s="100" t="s">
        <v>3385</v>
      </c>
      <c r="M441" s="100" t="s">
        <v>3386</v>
      </c>
      <c r="N441" s="101" t="s">
        <v>3387</v>
      </c>
      <c r="O441" s="82" t="s">
        <v>1268</v>
      </c>
      <c r="P441" s="82">
        <v>19720</v>
      </c>
      <c r="Q441" s="82"/>
      <c r="R441" s="82" t="s">
        <v>37</v>
      </c>
      <c r="S441" s="82" t="s">
        <v>3257</v>
      </c>
      <c r="T441" s="82" t="s">
        <v>1092</v>
      </c>
      <c r="U441" s="97">
        <v>1932</v>
      </c>
      <c r="V441" s="97" t="s">
        <v>66</v>
      </c>
      <c r="W441" s="97" t="s">
        <v>66</v>
      </c>
      <c r="X441" s="97"/>
      <c r="Y441" s="131" t="s">
        <v>3388</v>
      </c>
      <c r="Z441" s="131" t="s">
        <v>3389</v>
      </c>
    </row>
    <row r="442" spans="1:26" s="82" customFormat="1" ht="30" x14ac:dyDescent="0.25">
      <c r="A442" s="104" t="s">
        <v>3390</v>
      </c>
      <c r="B442" s="104" t="s">
        <v>3391</v>
      </c>
      <c r="C442" s="104" t="str">
        <f t="shared" si="15"/>
        <v>SC-001  - Northwest Fork Hundred</v>
      </c>
      <c r="D442" s="106" t="s">
        <v>71</v>
      </c>
      <c r="E442" s="106" t="s">
        <v>71</v>
      </c>
      <c r="F442" s="107" t="s">
        <v>48</v>
      </c>
      <c r="G442" s="107" t="s">
        <v>48</v>
      </c>
      <c r="H442" s="106"/>
      <c r="I442" s="108" t="s">
        <v>1124</v>
      </c>
      <c r="J442" s="105">
        <v>18</v>
      </c>
      <c r="K442" s="105">
        <v>35</v>
      </c>
      <c r="L442" s="143" t="s">
        <v>3392</v>
      </c>
      <c r="M442" s="143" t="s">
        <v>3393</v>
      </c>
      <c r="N442" s="144" t="s">
        <v>3394</v>
      </c>
      <c r="O442" s="104" t="s">
        <v>460</v>
      </c>
      <c r="P442" s="104">
        <v>19950</v>
      </c>
      <c r="Q442" s="104"/>
      <c r="R442" s="104" t="s">
        <v>37</v>
      </c>
      <c r="S442" s="104" t="s">
        <v>3395</v>
      </c>
      <c r="T442" s="104" t="s">
        <v>56</v>
      </c>
      <c r="U442" s="107">
        <v>1932</v>
      </c>
      <c r="V442" s="107">
        <v>1932</v>
      </c>
      <c r="W442" s="107" t="s">
        <v>66</v>
      </c>
      <c r="X442" s="107">
        <v>1966</v>
      </c>
      <c r="Y442" s="111"/>
      <c r="Z442" s="111"/>
    </row>
    <row r="443" spans="1:26" ht="30" x14ac:dyDescent="0.25">
      <c r="A443" s="104" t="s">
        <v>3396</v>
      </c>
      <c r="B443" s="104" t="s">
        <v>3391</v>
      </c>
      <c r="C443" s="104" t="str">
        <f t="shared" si="15"/>
        <v>SC-002  - Northwest Fork Hundred</v>
      </c>
      <c r="D443" s="106" t="s">
        <v>71</v>
      </c>
      <c r="E443" s="106" t="s">
        <v>71</v>
      </c>
      <c r="F443" s="107" t="s">
        <v>48</v>
      </c>
      <c r="G443" s="107" t="s">
        <v>48</v>
      </c>
      <c r="H443" s="106"/>
      <c r="I443" s="108" t="s">
        <v>1124</v>
      </c>
      <c r="J443" s="105">
        <v>18</v>
      </c>
      <c r="K443" s="105">
        <v>35</v>
      </c>
      <c r="L443" s="143" t="s">
        <v>3397</v>
      </c>
      <c r="M443" s="143" t="s">
        <v>3398</v>
      </c>
      <c r="N443" s="110" t="s">
        <v>3399</v>
      </c>
      <c r="O443" s="104" t="s">
        <v>3400</v>
      </c>
      <c r="P443" s="104">
        <v>19933</v>
      </c>
      <c r="Q443" s="104"/>
      <c r="R443" s="104" t="s">
        <v>37</v>
      </c>
      <c r="S443" s="104"/>
      <c r="T443" s="104" t="s">
        <v>56</v>
      </c>
      <c r="U443" s="107">
        <v>1932</v>
      </c>
      <c r="V443" s="107">
        <v>1932</v>
      </c>
      <c r="W443" s="107" t="s">
        <v>66</v>
      </c>
      <c r="X443" s="107"/>
      <c r="Y443" s="111"/>
      <c r="Z443" s="111"/>
    </row>
    <row r="444" spans="1:26" x14ac:dyDescent="0.25">
      <c r="A444" s="104" t="s">
        <v>3401</v>
      </c>
      <c r="B444" s="104" t="s">
        <v>3402</v>
      </c>
      <c r="C444" s="104" t="str">
        <f t="shared" si="15"/>
        <v>SC-003  - Seaford Hundred</v>
      </c>
      <c r="D444" s="106" t="s">
        <v>71</v>
      </c>
      <c r="E444" s="106" t="s">
        <v>71</v>
      </c>
      <c r="F444" s="107" t="s">
        <v>48</v>
      </c>
      <c r="G444" s="107" t="s">
        <v>48</v>
      </c>
      <c r="H444" s="106"/>
      <c r="I444" s="108" t="s">
        <v>1124</v>
      </c>
      <c r="J444" s="105">
        <v>18</v>
      </c>
      <c r="K444" s="105">
        <v>35</v>
      </c>
      <c r="L444" s="143" t="s">
        <v>3403</v>
      </c>
      <c r="M444" s="143" t="s">
        <v>3404</v>
      </c>
      <c r="N444" s="110" t="s">
        <v>3405</v>
      </c>
      <c r="O444" s="104" t="s">
        <v>3400</v>
      </c>
      <c r="P444" s="104">
        <v>19933</v>
      </c>
      <c r="Q444" s="104"/>
      <c r="R444" s="104" t="s">
        <v>37</v>
      </c>
      <c r="S444" s="104"/>
      <c r="T444" s="104" t="s">
        <v>56</v>
      </c>
      <c r="U444" s="107">
        <v>1932</v>
      </c>
      <c r="V444" s="107">
        <v>1932</v>
      </c>
      <c r="W444" s="107" t="s">
        <v>66</v>
      </c>
      <c r="X444" s="107"/>
      <c r="Y444" s="111"/>
      <c r="Z444" s="111"/>
    </row>
    <row r="445" spans="1:26" x14ac:dyDescent="0.25">
      <c r="A445" s="104" t="s">
        <v>3406</v>
      </c>
      <c r="B445" s="104" t="s">
        <v>3407</v>
      </c>
      <c r="C445" s="104" t="str">
        <f t="shared" si="15"/>
        <v>SC-004  - Seaford</v>
      </c>
      <c r="D445" s="106" t="s">
        <v>71</v>
      </c>
      <c r="E445" s="106" t="s">
        <v>71</v>
      </c>
      <c r="F445" s="107" t="s">
        <v>205</v>
      </c>
      <c r="G445" s="107"/>
      <c r="H445" s="106"/>
      <c r="I445" s="108" t="s">
        <v>1124</v>
      </c>
      <c r="J445" s="105">
        <v>21</v>
      </c>
      <c r="K445" s="105">
        <v>39</v>
      </c>
      <c r="L445" s="143" t="s">
        <v>3408</v>
      </c>
      <c r="M445" s="143" t="s">
        <v>3409</v>
      </c>
      <c r="N445" s="110" t="s">
        <v>3410</v>
      </c>
      <c r="O445" s="104" t="s">
        <v>3407</v>
      </c>
      <c r="P445" s="104">
        <v>19973</v>
      </c>
      <c r="Q445" s="104"/>
      <c r="R445" s="104" t="s">
        <v>37</v>
      </c>
      <c r="S445" s="104"/>
      <c r="T445" s="104" t="s">
        <v>56</v>
      </c>
      <c r="U445" s="107">
        <v>1932</v>
      </c>
      <c r="V445" s="107">
        <v>1932</v>
      </c>
      <c r="W445" s="107" t="s">
        <v>66</v>
      </c>
      <c r="X445" s="107"/>
      <c r="Y445" s="111"/>
      <c r="Z445" s="111"/>
    </row>
    <row r="446" spans="1:26" ht="45" x14ac:dyDescent="0.25">
      <c r="A446" s="82" t="s">
        <v>3411</v>
      </c>
      <c r="B446" s="82" t="s">
        <v>3407</v>
      </c>
      <c r="C446" s="82" t="str">
        <f t="shared" si="15"/>
        <v>SC-005  - Seaford</v>
      </c>
      <c r="D446" s="96" t="s">
        <v>3412</v>
      </c>
      <c r="E446" s="96" t="s">
        <v>29</v>
      </c>
      <c r="F446" s="97" t="s">
        <v>205</v>
      </c>
      <c r="G446" s="97"/>
      <c r="H446" s="96" t="s">
        <v>3413</v>
      </c>
      <c r="I446" s="99" t="s">
        <v>1124</v>
      </c>
      <c r="J446" s="95">
        <v>21</v>
      </c>
      <c r="K446" s="95">
        <v>39</v>
      </c>
      <c r="L446" s="112">
        <v>38.649120000000003</v>
      </c>
      <c r="M446" s="112">
        <v>-75.592960000000005</v>
      </c>
      <c r="N446" s="101" t="s">
        <v>3414</v>
      </c>
      <c r="O446" s="101" t="s">
        <v>3407</v>
      </c>
      <c r="P446" s="82">
        <v>19973</v>
      </c>
      <c r="Q446" s="82"/>
      <c r="R446" s="82" t="s">
        <v>37</v>
      </c>
      <c r="S446" s="82"/>
      <c r="T446" s="82" t="s">
        <v>56</v>
      </c>
      <c r="U446" s="97">
        <v>1932</v>
      </c>
      <c r="V446" s="97">
        <v>1932</v>
      </c>
      <c r="W446" s="97" t="s">
        <v>66</v>
      </c>
      <c r="X446" s="97">
        <v>1966</v>
      </c>
      <c r="Y446" s="102" t="s">
        <v>3415</v>
      </c>
      <c r="Z446" s="102" t="s">
        <v>3416</v>
      </c>
    </row>
    <row r="447" spans="1:26" ht="45" x14ac:dyDescent="0.25">
      <c r="A447" s="82" t="s">
        <v>3417</v>
      </c>
      <c r="B447" s="82" t="s">
        <v>3402</v>
      </c>
      <c r="C447" s="82" t="str">
        <f t="shared" si="15"/>
        <v>SC-006  - Seaford Hundred</v>
      </c>
      <c r="D447" s="96" t="s">
        <v>3418</v>
      </c>
      <c r="E447" s="96" t="s">
        <v>29</v>
      </c>
      <c r="F447" s="97" t="s">
        <v>48</v>
      </c>
      <c r="G447" s="97" t="s">
        <v>48</v>
      </c>
      <c r="H447" s="96" t="s">
        <v>1018</v>
      </c>
      <c r="I447" s="99" t="s">
        <v>1124</v>
      </c>
      <c r="J447" s="95">
        <v>21</v>
      </c>
      <c r="K447" s="95">
        <v>39</v>
      </c>
      <c r="L447" s="112">
        <v>38.649299999999997</v>
      </c>
      <c r="M447" s="112">
        <v>-75.607810000000001</v>
      </c>
      <c r="N447" s="101" t="s">
        <v>3419</v>
      </c>
      <c r="O447" s="101" t="s">
        <v>3407</v>
      </c>
      <c r="P447" s="82">
        <v>19973</v>
      </c>
      <c r="Q447" s="82"/>
      <c r="R447" s="82" t="s">
        <v>37</v>
      </c>
      <c r="S447" s="82"/>
      <c r="T447" s="82" t="s">
        <v>56</v>
      </c>
      <c r="U447" s="97">
        <v>1932</v>
      </c>
      <c r="V447" s="97">
        <v>1932</v>
      </c>
      <c r="W447" s="97" t="s">
        <v>66</v>
      </c>
      <c r="X447" s="97">
        <v>1968</v>
      </c>
      <c r="Y447" s="102" t="s">
        <v>3420</v>
      </c>
      <c r="Z447" s="102" t="s">
        <v>3421</v>
      </c>
    </row>
    <row r="448" spans="1:26" ht="30" x14ac:dyDescent="0.25">
      <c r="A448" s="104" t="s">
        <v>3422</v>
      </c>
      <c r="B448" s="104" t="s">
        <v>3423</v>
      </c>
      <c r="C448" s="104" t="str">
        <f t="shared" si="15"/>
        <v>SC-007  - Broad Creek Hundred</v>
      </c>
      <c r="D448" s="106" t="s">
        <v>71</v>
      </c>
      <c r="E448" s="106" t="s">
        <v>71</v>
      </c>
      <c r="F448" s="107" t="s">
        <v>48</v>
      </c>
      <c r="G448" s="107" t="s">
        <v>48</v>
      </c>
      <c r="H448" s="106"/>
      <c r="I448" s="108" t="s">
        <v>1124</v>
      </c>
      <c r="J448" s="105">
        <v>21</v>
      </c>
      <c r="K448" s="105">
        <v>39</v>
      </c>
      <c r="L448" s="143" t="s">
        <v>3424</v>
      </c>
      <c r="M448" s="143" t="s">
        <v>3425</v>
      </c>
      <c r="N448" s="110" t="s">
        <v>3426</v>
      </c>
      <c r="O448" s="104" t="s">
        <v>3407</v>
      </c>
      <c r="P448" s="104">
        <v>19973</v>
      </c>
      <c r="Q448" s="104"/>
      <c r="R448" s="104" t="s">
        <v>37</v>
      </c>
      <c r="S448" s="104"/>
      <c r="T448" s="104" t="s">
        <v>56</v>
      </c>
      <c r="U448" s="107">
        <v>1932</v>
      </c>
      <c r="V448" s="107">
        <v>1932</v>
      </c>
      <c r="W448" s="107" t="s">
        <v>66</v>
      </c>
      <c r="X448" s="107">
        <v>1966</v>
      </c>
      <c r="Y448" s="111"/>
      <c r="Z448" s="111"/>
    </row>
    <row r="449" spans="1:26" x14ac:dyDescent="0.25">
      <c r="A449" s="104" t="s">
        <v>3427</v>
      </c>
      <c r="B449" s="104" t="s">
        <v>3428</v>
      </c>
      <c r="C449" s="104" t="str">
        <f t="shared" si="15"/>
        <v>SC-008  - Laurel</v>
      </c>
      <c r="D449" s="106" t="s">
        <v>71</v>
      </c>
      <c r="E449" s="106" t="s">
        <v>71</v>
      </c>
      <c r="F449" s="107" t="s">
        <v>205</v>
      </c>
      <c r="G449" s="107"/>
      <c r="H449" s="106"/>
      <c r="I449" s="108" t="s">
        <v>1124</v>
      </c>
      <c r="J449" s="105">
        <v>19</v>
      </c>
      <c r="K449" s="105">
        <v>35</v>
      </c>
      <c r="L449" s="143" t="s">
        <v>103</v>
      </c>
      <c r="M449" s="143" t="s">
        <v>104</v>
      </c>
      <c r="N449" s="110" t="s">
        <v>3429</v>
      </c>
      <c r="O449" s="104" t="s">
        <v>3407</v>
      </c>
      <c r="P449" s="104">
        <v>19973</v>
      </c>
      <c r="Q449" s="104"/>
      <c r="R449" s="104" t="s">
        <v>37</v>
      </c>
      <c r="S449" s="104"/>
      <c r="T449" s="104" t="s">
        <v>56</v>
      </c>
      <c r="U449" s="107">
        <v>1932</v>
      </c>
      <c r="V449" s="107">
        <v>1932</v>
      </c>
      <c r="W449" s="107" t="s">
        <v>66</v>
      </c>
      <c r="X449" s="107"/>
      <c r="Y449" s="111"/>
      <c r="Z449" s="111"/>
    </row>
    <row r="450" spans="1:26" ht="30" x14ac:dyDescent="0.25">
      <c r="A450" s="104" t="s">
        <v>3430</v>
      </c>
      <c r="B450" s="104" t="s">
        <v>3423</v>
      </c>
      <c r="C450" s="104" t="str">
        <f t="shared" si="15"/>
        <v>SC-009  - Broad Creek Hundred</v>
      </c>
      <c r="D450" s="106" t="s">
        <v>71</v>
      </c>
      <c r="E450" s="106" t="s">
        <v>71</v>
      </c>
      <c r="F450" s="107" t="s">
        <v>48</v>
      </c>
      <c r="G450" s="107" t="s">
        <v>48</v>
      </c>
      <c r="H450" s="106"/>
      <c r="I450" s="108" t="s">
        <v>1124</v>
      </c>
      <c r="J450" s="105">
        <v>19</v>
      </c>
      <c r="K450" s="105">
        <v>35</v>
      </c>
      <c r="L450" s="143" t="s">
        <v>3431</v>
      </c>
      <c r="M450" s="143" t="s">
        <v>3432</v>
      </c>
      <c r="N450" s="110" t="s">
        <v>3433</v>
      </c>
      <c r="O450" s="104" t="s">
        <v>3428</v>
      </c>
      <c r="P450" s="104">
        <v>19956</v>
      </c>
      <c r="Q450" s="104"/>
      <c r="R450" s="104" t="s">
        <v>37</v>
      </c>
      <c r="S450" s="104"/>
      <c r="T450" s="104" t="s">
        <v>56</v>
      </c>
      <c r="U450" s="107">
        <v>1932</v>
      </c>
      <c r="V450" s="107">
        <v>1932</v>
      </c>
      <c r="W450" s="107" t="s">
        <v>66</v>
      </c>
      <c r="X450" s="107">
        <v>1966</v>
      </c>
      <c r="Y450" s="111"/>
      <c r="Z450" s="111"/>
    </row>
    <row r="451" spans="1:26" s="104" customFormat="1" ht="30" x14ac:dyDescent="0.25">
      <c r="A451" s="104" t="s">
        <v>3434</v>
      </c>
      <c r="B451" s="104" t="s">
        <v>75</v>
      </c>
      <c r="C451" s="104" t="str">
        <f t="shared" si="15"/>
        <v>SC-010  - Little Creek Hundred</v>
      </c>
      <c r="D451" s="106" t="s">
        <v>71</v>
      </c>
      <c r="E451" s="106" t="s">
        <v>71</v>
      </c>
      <c r="F451" s="107" t="s">
        <v>48</v>
      </c>
      <c r="G451" s="107" t="s">
        <v>48</v>
      </c>
      <c r="H451" s="106"/>
      <c r="I451" s="108" t="s">
        <v>1124</v>
      </c>
      <c r="J451" s="105">
        <v>19</v>
      </c>
      <c r="K451" s="105">
        <v>35</v>
      </c>
      <c r="L451" s="143" t="s">
        <v>3435</v>
      </c>
      <c r="M451" s="143" t="s">
        <v>3436</v>
      </c>
      <c r="N451" s="110" t="s">
        <v>3437</v>
      </c>
      <c r="O451" s="104" t="s">
        <v>3428</v>
      </c>
      <c r="P451" s="104">
        <v>19956</v>
      </c>
      <c r="R451" s="104" t="s">
        <v>37</v>
      </c>
      <c r="T451" s="104" t="s">
        <v>56</v>
      </c>
      <c r="U451" s="107">
        <v>1932</v>
      </c>
      <c r="V451" s="107">
        <v>1932</v>
      </c>
      <c r="W451" s="107" t="s">
        <v>66</v>
      </c>
      <c r="X451" s="107"/>
      <c r="Y451" s="111"/>
      <c r="Z451" s="111"/>
    </row>
    <row r="452" spans="1:26" s="104" customFormat="1" ht="25.5" x14ac:dyDescent="0.25">
      <c r="A452" s="51" t="s">
        <v>3438</v>
      </c>
      <c r="B452" s="51" t="s">
        <v>3428</v>
      </c>
      <c r="C452" s="51" t="str">
        <f t="shared" si="15"/>
        <v>SC-011  - Laurel</v>
      </c>
      <c r="D452" s="22" t="s">
        <v>3439</v>
      </c>
      <c r="E452" s="22" t="s">
        <v>66</v>
      </c>
      <c r="F452" s="15" t="s">
        <v>205</v>
      </c>
      <c r="G452" s="15"/>
      <c r="H452" s="22"/>
      <c r="I452" s="30" t="s">
        <v>1124</v>
      </c>
      <c r="J452" s="19">
        <v>19</v>
      </c>
      <c r="K452" s="19">
        <v>35</v>
      </c>
      <c r="L452" s="28" t="s">
        <v>3440</v>
      </c>
      <c r="M452" s="28" t="s">
        <v>3441</v>
      </c>
      <c r="N452" s="33" t="s">
        <v>3442</v>
      </c>
      <c r="O452" s="14" t="s">
        <v>3428</v>
      </c>
      <c r="P452" s="14">
        <v>19956</v>
      </c>
      <c r="Q452" s="14"/>
      <c r="R452" s="14" t="s">
        <v>37</v>
      </c>
      <c r="S452" s="14"/>
      <c r="T452" s="14" t="s">
        <v>56</v>
      </c>
      <c r="U452" s="15">
        <v>1932</v>
      </c>
      <c r="V452" s="15">
        <v>1932</v>
      </c>
      <c r="W452" s="15" t="s">
        <v>66</v>
      </c>
      <c r="X452" s="15"/>
      <c r="Y452" s="16"/>
      <c r="Z452" s="16"/>
    </row>
    <row r="453" spans="1:26" s="104" customFormat="1" ht="45" x14ac:dyDescent="0.25">
      <c r="A453" s="82" t="s">
        <v>3443</v>
      </c>
      <c r="B453" s="82" t="s">
        <v>75</v>
      </c>
      <c r="C453" s="82" t="str">
        <f t="shared" si="15"/>
        <v>SC-012  - Little Creek Hundred</v>
      </c>
      <c r="D453" s="96" t="s">
        <v>3444</v>
      </c>
      <c r="E453" s="96" t="s">
        <v>346</v>
      </c>
      <c r="F453" s="97" t="s">
        <v>48</v>
      </c>
      <c r="G453" s="97" t="s">
        <v>48</v>
      </c>
      <c r="H453" s="96" t="s">
        <v>84</v>
      </c>
      <c r="I453" s="99" t="s">
        <v>1124</v>
      </c>
      <c r="J453" s="95">
        <v>21</v>
      </c>
      <c r="K453" s="95">
        <v>40</v>
      </c>
      <c r="L453" s="100" t="s">
        <v>3445</v>
      </c>
      <c r="M453" s="100" t="s">
        <v>3446</v>
      </c>
      <c r="N453" s="101" t="s">
        <v>3447</v>
      </c>
      <c r="O453" s="82" t="s">
        <v>3448</v>
      </c>
      <c r="P453" s="82">
        <v>19940</v>
      </c>
      <c r="Q453" s="82"/>
      <c r="R453" s="82" t="s">
        <v>37</v>
      </c>
      <c r="S453" s="82" t="s">
        <v>3449</v>
      </c>
      <c r="T453" s="82" t="s">
        <v>3325</v>
      </c>
      <c r="U453" s="97">
        <v>1932</v>
      </c>
      <c r="V453" s="97">
        <v>1932</v>
      </c>
      <c r="W453" s="97" t="s">
        <v>66</v>
      </c>
      <c r="X453" s="97">
        <v>1973</v>
      </c>
      <c r="Y453" s="131" t="s">
        <v>3450</v>
      </c>
      <c r="Z453" s="102" t="s">
        <v>3451</v>
      </c>
    </row>
    <row r="454" spans="1:26" s="104" customFormat="1" ht="30" x14ac:dyDescent="0.25">
      <c r="A454" s="104" t="s">
        <v>3452</v>
      </c>
      <c r="B454" s="104" t="s">
        <v>3453</v>
      </c>
      <c r="C454" s="104" t="str">
        <f t="shared" si="15"/>
        <v>SC-013  - Cedar Creek Hundred</v>
      </c>
      <c r="D454" s="106" t="s">
        <v>98</v>
      </c>
      <c r="E454" s="106" t="s">
        <v>71</v>
      </c>
      <c r="F454" s="107" t="s">
        <v>48</v>
      </c>
      <c r="G454" s="107" t="s">
        <v>48</v>
      </c>
      <c r="H454" s="106"/>
      <c r="I454" s="108" t="s">
        <v>1124</v>
      </c>
      <c r="J454" s="105">
        <v>18</v>
      </c>
      <c r="K454" s="105">
        <v>36</v>
      </c>
      <c r="L454" s="143" t="s">
        <v>3454</v>
      </c>
      <c r="M454" s="143" t="s">
        <v>3455</v>
      </c>
      <c r="N454" s="110" t="s">
        <v>3456</v>
      </c>
      <c r="O454" s="104" t="s">
        <v>208</v>
      </c>
      <c r="P454" s="104">
        <v>19963</v>
      </c>
      <c r="R454" s="104" t="s">
        <v>37</v>
      </c>
      <c r="S454" s="104" t="s">
        <v>3457</v>
      </c>
      <c r="T454" s="104" t="s">
        <v>56</v>
      </c>
      <c r="U454" s="107">
        <v>1932</v>
      </c>
      <c r="V454" s="107">
        <v>1932</v>
      </c>
      <c r="W454" s="107" t="s">
        <v>66</v>
      </c>
      <c r="X454" s="107"/>
      <c r="Y454" s="111"/>
      <c r="Z454" s="111"/>
    </row>
    <row r="455" spans="1:26" s="82" customFormat="1" ht="45" x14ac:dyDescent="0.25">
      <c r="A455" s="82" t="s">
        <v>3458</v>
      </c>
      <c r="B455" s="82" t="s">
        <v>3459</v>
      </c>
      <c r="C455" s="82" t="str">
        <f t="shared" si="15"/>
        <v>SC-014  - Milford (13 &amp; 36)</v>
      </c>
      <c r="D455" s="96" t="s">
        <v>213</v>
      </c>
      <c r="E455" s="96" t="s">
        <v>29</v>
      </c>
      <c r="F455" s="97" t="s">
        <v>205</v>
      </c>
      <c r="G455" s="97"/>
      <c r="H455" s="96" t="s">
        <v>442</v>
      </c>
      <c r="I455" s="99" t="s">
        <v>1124</v>
      </c>
      <c r="J455" s="95">
        <v>16</v>
      </c>
      <c r="K455" s="95">
        <v>36</v>
      </c>
      <c r="L455" s="113">
        <v>38.900889999999997</v>
      </c>
      <c r="M455" s="112">
        <v>-75.439930000000004</v>
      </c>
      <c r="N455" s="101" t="s">
        <v>3460</v>
      </c>
      <c r="O455" s="82" t="s">
        <v>208</v>
      </c>
      <c r="P455" s="82">
        <v>19963</v>
      </c>
      <c r="R455" s="82" t="s">
        <v>37</v>
      </c>
      <c r="S455" s="82" t="s">
        <v>3461</v>
      </c>
      <c r="T455" s="82" t="s">
        <v>56</v>
      </c>
      <c r="U455" s="97">
        <v>1932</v>
      </c>
      <c r="V455" s="97">
        <v>1932</v>
      </c>
      <c r="W455" s="97" t="s">
        <v>66</v>
      </c>
      <c r="X455" s="97" t="s">
        <v>3462</v>
      </c>
      <c r="Y455" s="102" t="s">
        <v>3463</v>
      </c>
      <c r="Z455" s="102" t="s">
        <v>3464</v>
      </c>
    </row>
    <row r="456" spans="1:26" s="82" customFormat="1" ht="30" x14ac:dyDescent="0.25">
      <c r="A456" s="104" t="s">
        <v>3465</v>
      </c>
      <c r="B456" s="104" t="s">
        <v>3453</v>
      </c>
      <c r="C456" s="104" t="str">
        <f t="shared" si="15"/>
        <v>SC-015  - Cedar Creek Hundred</v>
      </c>
      <c r="D456" s="106" t="s">
        <v>98</v>
      </c>
      <c r="E456" s="106" t="s">
        <v>71</v>
      </c>
      <c r="F456" s="107" t="s">
        <v>48</v>
      </c>
      <c r="G456" s="107" t="s">
        <v>48</v>
      </c>
      <c r="H456" s="106"/>
      <c r="I456" s="108" t="s">
        <v>1124</v>
      </c>
      <c r="J456" s="105">
        <v>18</v>
      </c>
      <c r="K456" s="105">
        <v>36</v>
      </c>
      <c r="L456" s="143" t="s">
        <v>3454</v>
      </c>
      <c r="M456" s="143" t="s">
        <v>3455</v>
      </c>
      <c r="N456" s="110" t="s">
        <v>3456</v>
      </c>
      <c r="O456" s="104" t="s">
        <v>208</v>
      </c>
      <c r="P456" s="104">
        <v>19963</v>
      </c>
      <c r="Q456" s="104"/>
      <c r="R456" s="104" t="s">
        <v>37</v>
      </c>
      <c r="S456" s="104"/>
      <c r="T456" s="104" t="s">
        <v>56</v>
      </c>
      <c r="U456" s="107">
        <v>1932</v>
      </c>
      <c r="V456" s="107">
        <v>1932</v>
      </c>
      <c r="W456" s="107" t="s">
        <v>66</v>
      </c>
      <c r="X456" s="107">
        <v>1966</v>
      </c>
      <c r="Y456" s="111"/>
      <c r="Z456" s="111"/>
    </row>
    <row r="457" spans="1:26" s="104" customFormat="1" ht="45" x14ac:dyDescent="0.25">
      <c r="A457" s="104" t="s">
        <v>3466</v>
      </c>
      <c r="B457" s="104" t="s">
        <v>3467</v>
      </c>
      <c r="C457" s="104" t="str">
        <f t="shared" si="15"/>
        <v>SC-016  - Georgetown Hundred</v>
      </c>
      <c r="D457" s="106" t="s">
        <v>98</v>
      </c>
      <c r="E457" s="106" t="s">
        <v>71</v>
      </c>
      <c r="F457" s="107" t="s">
        <v>48</v>
      </c>
      <c r="G457" s="107" t="s">
        <v>48</v>
      </c>
      <c r="H457" s="106"/>
      <c r="I457" s="108" t="s">
        <v>1124</v>
      </c>
      <c r="J457" s="105">
        <v>19</v>
      </c>
      <c r="K457" s="105">
        <v>37</v>
      </c>
      <c r="L457" s="143" t="s">
        <v>3468</v>
      </c>
      <c r="M457" s="143" t="s">
        <v>3469</v>
      </c>
      <c r="N457" s="104" t="s">
        <v>3470</v>
      </c>
      <c r="O457" s="104" t="s">
        <v>3471</v>
      </c>
      <c r="P457" s="104">
        <v>19947</v>
      </c>
      <c r="R457" s="104" t="s">
        <v>37</v>
      </c>
      <c r="T457" s="104" t="s">
        <v>56</v>
      </c>
      <c r="U457" s="107">
        <v>1932</v>
      </c>
      <c r="V457" s="107">
        <v>1932</v>
      </c>
      <c r="W457" s="107" t="s">
        <v>66</v>
      </c>
      <c r="X457" s="107"/>
      <c r="Y457" s="111"/>
      <c r="Z457" s="111"/>
    </row>
    <row r="458" spans="1:26" s="104" customFormat="1" x14ac:dyDescent="0.25">
      <c r="A458" s="104" t="s">
        <v>3472</v>
      </c>
      <c r="B458" s="104" t="s">
        <v>3471</v>
      </c>
      <c r="C458" s="104" t="str">
        <f t="shared" si="15"/>
        <v>SC-017  - Georgetown</v>
      </c>
      <c r="D458" s="106" t="s">
        <v>98</v>
      </c>
      <c r="E458" s="106" t="s">
        <v>71</v>
      </c>
      <c r="F458" s="107" t="s">
        <v>205</v>
      </c>
      <c r="G458" s="107"/>
      <c r="H458" s="106"/>
      <c r="I458" s="108" t="s">
        <v>1124</v>
      </c>
      <c r="J458" s="105">
        <v>19</v>
      </c>
      <c r="K458" s="105">
        <v>37</v>
      </c>
      <c r="L458" s="143" t="s">
        <v>3473</v>
      </c>
      <c r="M458" s="143" t="s">
        <v>3474</v>
      </c>
      <c r="N458" s="110" t="s">
        <v>3475</v>
      </c>
      <c r="O458" s="104" t="s">
        <v>3471</v>
      </c>
      <c r="P458" s="104">
        <v>19947</v>
      </c>
      <c r="R458" s="104" t="s">
        <v>37</v>
      </c>
      <c r="T458" s="104" t="s">
        <v>56</v>
      </c>
      <c r="U458" s="107">
        <v>1932</v>
      </c>
      <c r="V458" s="107">
        <v>1932</v>
      </c>
      <c r="W458" s="107" t="s">
        <v>66</v>
      </c>
      <c r="X458" s="107">
        <v>1967</v>
      </c>
      <c r="Y458" s="111"/>
      <c r="Z458" s="111"/>
    </row>
    <row r="459" spans="1:26" s="104" customFormat="1" x14ac:dyDescent="0.25">
      <c r="A459" s="104" t="s">
        <v>3476</v>
      </c>
      <c r="B459" s="104" t="s">
        <v>3471</v>
      </c>
      <c r="C459" s="104" t="str">
        <f t="shared" si="15"/>
        <v>SC-018  - Georgetown</v>
      </c>
      <c r="D459" s="106" t="s">
        <v>98</v>
      </c>
      <c r="E459" s="106" t="s">
        <v>71</v>
      </c>
      <c r="F459" s="107" t="s">
        <v>205</v>
      </c>
      <c r="G459" s="107"/>
      <c r="H459" s="106"/>
      <c r="I459" s="108" t="s">
        <v>1124</v>
      </c>
      <c r="J459" s="105">
        <v>19</v>
      </c>
      <c r="K459" s="105">
        <v>37</v>
      </c>
      <c r="L459" s="143" t="s">
        <v>3477</v>
      </c>
      <c r="M459" s="143" t="s">
        <v>3478</v>
      </c>
      <c r="N459" s="110" t="s">
        <v>3479</v>
      </c>
      <c r="O459" s="104" t="s">
        <v>3471</v>
      </c>
      <c r="P459" s="104">
        <v>19947</v>
      </c>
      <c r="R459" s="104" t="s">
        <v>37</v>
      </c>
      <c r="S459" s="104" t="s">
        <v>3480</v>
      </c>
      <c r="T459" s="104" t="s">
        <v>56</v>
      </c>
      <c r="U459" s="107">
        <v>1932</v>
      </c>
      <c r="V459" s="107">
        <v>1932</v>
      </c>
      <c r="W459" s="107" t="s">
        <v>66</v>
      </c>
      <c r="X459" s="107"/>
      <c r="Y459" s="111"/>
      <c r="Z459" s="111"/>
    </row>
    <row r="460" spans="1:26" s="104" customFormat="1" ht="30" x14ac:dyDescent="0.25">
      <c r="A460" s="104" t="s">
        <v>3481</v>
      </c>
      <c r="B460" s="104" t="s">
        <v>3467</v>
      </c>
      <c r="C460" s="104" t="str">
        <f t="shared" si="15"/>
        <v>SC-019  - Georgetown Hundred</v>
      </c>
      <c r="D460" s="106" t="s">
        <v>98</v>
      </c>
      <c r="E460" s="106" t="s">
        <v>71</v>
      </c>
      <c r="F460" s="107" t="s">
        <v>48</v>
      </c>
      <c r="G460" s="107" t="s">
        <v>48</v>
      </c>
      <c r="H460" s="106"/>
      <c r="I460" s="108" t="s">
        <v>1124</v>
      </c>
      <c r="J460" s="105">
        <v>19</v>
      </c>
      <c r="K460" s="105">
        <v>37</v>
      </c>
      <c r="L460" s="143" t="s">
        <v>3482</v>
      </c>
      <c r="M460" s="143" t="s">
        <v>3483</v>
      </c>
      <c r="N460" s="110" t="s">
        <v>3484</v>
      </c>
      <c r="O460" s="104" t="s">
        <v>3471</v>
      </c>
      <c r="P460" s="104">
        <v>19947</v>
      </c>
      <c r="R460" s="104" t="s">
        <v>37</v>
      </c>
      <c r="S460" s="104" t="s">
        <v>3485</v>
      </c>
      <c r="T460" s="104" t="s">
        <v>56</v>
      </c>
      <c r="U460" s="107">
        <v>1932</v>
      </c>
      <c r="V460" s="107">
        <v>1932</v>
      </c>
      <c r="W460" s="107" t="s">
        <v>66</v>
      </c>
      <c r="X460" s="107"/>
      <c r="Y460" s="111"/>
      <c r="Z460" s="111"/>
    </row>
    <row r="461" spans="1:26" s="14" customFormat="1" ht="30" x14ac:dyDescent="0.25">
      <c r="A461" s="104" t="s">
        <v>3486</v>
      </c>
      <c r="B461" s="104" t="s">
        <v>3487</v>
      </c>
      <c r="C461" s="104" t="str">
        <f t="shared" si="15"/>
        <v>SC-020  - Dagsboro Hundred</v>
      </c>
      <c r="D461" s="106" t="s">
        <v>98</v>
      </c>
      <c r="E461" s="106" t="s">
        <v>71</v>
      </c>
      <c r="F461" s="107" t="s">
        <v>48</v>
      </c>
      <c r="G461" s="107" t="s">
        <v>48</v>
      </c>
      <c r="H461" s="106"/>
      <c r="I461" s="108" t="s">
        <v>1124</v>
      </c>
      <c r="J461" s="105">
        <v>19</v>
      </c>
      <c r="K461" s="105">
        <v>37</v>
      </c>
      <c r="L461" s="143" t="s">
        <v>3488</v>
      </c>
      <c r="M461" s="143" t="s">
        <v>3489</v>
      </c>
      <c r="N461" s="110" t="s">
        <v>3484</v>
      </c>
      <c r="O461" s="104" t="s">
        <v>3471</v>
      </c>
      <c r="P461" s="104">
        <v>19947</v>
      </c>
      <c r="Q461" s="104"/>
      <c r="R461" s="104" t="s">
        <v>37</v>
      </c>
      <c r="S461" s="104" t="s">
        <v>3490</v>
      </c>
      <c r="T461" s="104" t="s">
        <v>56</v>
      </c>
      <c r="U461" s="107">
        <v>1932</v>
      </c>
      <c r="V461" s="107">
        <v>1932</v>
      </c>
      <c r="W461" s="107" t="s">
        <v>66</v>
      </c>
      <c r="X461" s="107"/>
      <c r="Y461" s="111"/>
      <c r="Z461" s="111"/>
    </row>
    <row r="462" spans="1:26" s="82" customFormat="1" x14ac:dyDescent="0.25">
      <c r="A462" s="104" t="s">
        <v>3491</v>
      </c>
      <c r="B462" s="104" t="s">
        <v>3492</v>
      </c>
      <c r="C462" s="104" t="str">
        <f t="shared" si="15"/>
        <v>SC-021  - Dagsboro</v>
      </c>
      <c r="D462" s="106" t="s">
        <v>98</v>
      </c>
      <c r="E462" s="106" t="s">
        <v>71</v>
      </c>
      <c r="F462" s="107" t="s">
        <v>205</v>
      </c>
      <c r="G462" s="107"/>
      <c r="H462" s="106"/>
      <c r="I462" s="108" t="s">
        <v>1124</v>
      </c>
      <c r="J462" s="105">
        <v>20</v>
      </c>
      <c r="K462" s="105">
        <v>41</v>
      </c>
      <c r="L462" s="143" t="s">
        <v>3493</v>
      </c>
      <c r="M462" s="143" t="s">
        <v>3494</v>
      </c>
      <c r="N462" s="110" t="s">
        <v>3495</v>
      </c>
      <c r="O462" s="104" t="s">
        <v>3492</v>
      </c>
      <c r="P462" s="104">
        <v>19939</v>
      </c>
      <c r="Q462" s="104"/>
      <c r="R462" s="104" t="s">
        <v>37</v>
      </c>
      <c r="S462" s="104"/>
      <c r="T462" s="104" t="s">
        <v>56</v>
      </c>
      <c r="U462" s="107">
        <v>1932</v>
      </c>
      <c r="V462" s="107">
        <v>1932</v>
      </c>
      <c r="W462" s="107" t="s">
        <v>66</v>
      </c>
      <c r="X462" s="107"/>
      <c r="Y462" s="111"/>
      <c r="Z462" s="111"/>
    </row>
    <row r="463" spans="1:26" s="104" customFormat="1" ht="30" x14ac:dyDescent="0.25">
      <c r="A463" s="104" t="s">
        <v>3496</v>
      </c>
      <c r="B463" s="104" t="s">
        <v>3487</v>
      </c>
      <c r="C463" s="104" t="str">
        <f t="shared" si="15"/>
        <v>SC-022  - Dagsboro Hundred</v>
      </c>
      <c r="D463" s="106" t="s">
        <v>98</v>
      </c>
      <c r="E463" s="106" t="s">
        <v>71</v>
      </c>
      <c r="F463" s="107" t="s">
        <v>48</v>
      </c>
      <c r="G463" s="107" t="s">
        <v>48</v>
      </c>
      <c r="H463" s="106"/>
      <c r="I463" s="108" t="s">
        <v>1124</v>
      </c>
      <c r="J463" s="105">
        <v>20</v>
      </c>
      <c r="K463" s="105">
        <v>41</v>
      </c>
      <c r="L463" s="143" t="s">
        <v>3497</v>
      </c>
      <c r="M463" s="143" t="s">
        <v>3498</v>
      </c>
      <c r="N463" s="110" t="s">
        <v>3499</v>
      </c>
      <c r="O463" s="104" t="s">
        <v>3500</v>
      </c>
      <c r="P463" s="104">
        <v>19945</v>
      </c>
      <c r="R463" s="104" t="s">
        <v>37</v>
      </c>
      <c r="T463" s="104" t="s">
        <v>56</v>
      </c>
      <c r="U463" s="107">
        <v>1932</v>
      </c>
      <c r="V463" s="107">
        <v>1932</v>
      </c>
      <c r="W463" s="107" t="s">
        <v>66</v>
      </c>
      <c r="X463" s="107"/>
      <c r="Y463" s="111"/>
      <c r="Z463" s="111"/>
    </row>
    <row r="464" spans="1:26" s="82" customFormat="1" ht="75" x14ac:dyDescent="0.25">
      <c r="A464" s="82" t="s">
        <v>3501</v>
      </c>
      <c r="B464" s="82" t="s">
        <v>3502</v>
      </c>
      <c r="C464" s="82" t="str">
        <f t="shared" si="15"/>
        <v>SC-023  - Baltimore Hundred</v>
      </c>
      <c r="D464" s="96" t="s">
        <v>3503</v>
      </c>
      <c r="E464" s="96" t="s">
        <v>346</v>
      </c>
      <c r="F464" s="97" t="s">
        <v>48</v>
      </c>
      <c r="G464" s="97" t="s">
        <v>48</v>
      </c>
      <c r="H464" s="96" t="s">
        <v>400</v>
      </c>
      <c r="I464" s="99" t="s">
        <v>1124</v>
      </c>
      <c r="J464" s="95">
        <v>20</v>
      </c>
      <c r="K464" s="95">
        <v>41</v>
      </c>
      <c r="L464" s="100" t="s">
        <v>3504</v>
      </c>
      <c r="M464" s="100" t="s">
        <v>3505</v>
      </c>
      <c r="N464" s="101" t="s">
        <v>3506</v>
      </c>
      <c r="O464" s="82" t="s">
        <v>3492</v>
      </c>
      <c r="P464" s="82">
        <v>19939</v>
      </c>
      <c r="R464" s="82" t="s">
        <v>37</v>
      </c>
      <c r="S464" s="82" t="s">
        <v>3507</v>
      </c>
      <c r="T464" s="82" t="s">
        <v>56</v>
      </c>
      <c r="U464" s="97">
        <v>1932</v>
      </c>
      <c r="V464" s="97">
        <v>1932</v>
      </c>
      <c r="W464" s="97" t="s">
        <v>66</v>
      </c>
      <c r="X464" s="97">
        <v>1989</v>
      </c>
      <c r="Y464" s="102" t="s">
        <v>3508</v>
      </c>
      <c r="Z464" s="102" t="s">
        <v>3509</v>
      </c>
    </row>
    <row r="465" spans="1:26" s="104" customFormat="1" ht="30" x14ac:dyDescent="0.25">
      <c r="A465" s="104" t="s">
        <v>3510</v>
      </c>
      <c r="B465" s="104" t="s">
        <v>3502</v>
      </c>
      <c r="C465" s="104" t="str">
        <f t="shared" si="15"/>
        <v>SC-024  - Baltimore Hundred</v>
      </c>
      <c r="D465" s="106" t="s">
        <v>98</v>
      </c>
      <c r="E465" s="106" t="s">
        <v>71</v>
      </c>
      <c r="F465" s="107" t="s">
        <v>48</v>
      </c>
      <c r="G465" s="107" t="s">
        <v>48</v>
      </c>
      <c r="H465" s="106"/>
      <c r="I465" s="108" t="s">
        <v>1124</v>
      </c>
      <c r="J465" s="105">
        <v>20</v>
      </c>
      <c r="K465" s="105">
        <v>41</v>
      </c>
      <c r="L465" s="143" t="s">
        <v>3511</v>
      </c>
      <c r="M465" s="143" t="s">
        <v>3512</v>
      </c>
      <c r="N465" s="110" t="s">
        <v>3513</v>
      </c>
      <c r="O465" s="104" t="s">
        <v>3514</v>
      </c>
      <c r="P465" s="104">
        <v>19974</v>
      </c>
      <c r="R465" s="104" t="s">
        <v>37</v>
      </c>
      <c r="S465" s="104" t="s">
        <v>3515</v>
      </c>
      <c r="T465" s="104" t="s">
        <v>56</v>
      </c>
      <c r="U465" s="107">
        <v>1932</v>
      </c>
      <c r="V465" s="107">
        <v>1932</v>
      </c>
      <c r="W465" s="107" t="s">
        <v>66</v>
      </c>
      <c r="X465" s="107"/>
      <c r="Y465" s="111"/>
      <c r="Z465" s="111"/>
    </row>
    <row r="466" spans="1:26" s="104" customFormat="1" ht="30" x14ac:dyDescent="0.25">
      <c r="A466" s="104" t="s">
        <v>3516</v>
      </c>
      <c r="B466" s="104" t="s">
        <v>3453</v>
      </c>
      <c r="C466" s="104" t="str">
        <f t="shared" ref="C466:C497" si="16">A466 &amp; " - " &amp; B466</f>
        <v>SC-025  - Cedar Creek Hundred</v>
      </c>
      <c r="D466" s="106" t="s">
        <v>98</v>
      </c>
      <c r="E466" s="106" t="s">
        <v>71</v>
      </c>
      <c r="F466" s="107" t="s">
        <v>48</v>
      </c>
      <c r="G466" s="107" t="s">
        <v>48</v>
      </c>
      <c r="H466" s="106"/>
      <c r="I466" s="108" t="s">
        <v>1124</v>
      </c>
      <c r="J466" s="105">
        <v>18</v>
      </c>
      <c r="K466" s="105">
        <v>33</v>
      </c>
      <c r="L466" s="143" t="s">
        <v>3517</v>
      </c>
      <c r="M466" s="143" t="s">
        <v>3518</v>
      </c>
      <c r="N466" s="110" t="s">
        <v>3519</v>
      </c>
      <c r="O466" s="104" t="s">
        <v>208</v>
      </c>
      <c r="P466" s="104">
        <v>19963</v>
      </c>
      <c r="R466" s="104" t="s">
        <v>37</v>
      </c>
      <c r="T466" s="104" t="s">
        <v>56</v>
      </c>
      <c r="U466" s="107">
        <v>1932</v>
      </c>
      <c r="V466" s="107">
        <v>1932</v>
      </c>
      <c r="W466" s="107" t="s">
        <v>66</v>
      </c>
      <c r="X466" s="107"/>
      <c r="Y466" s="111"/>
      <c r="Z466" s="111"/>
    </row>
    <row r="467" spans="1:26" s="104" customFormat="1" ht="45" x14ac:dyDescent="0.25">
      <c r="A467" s="82" t="s">
        <v>3520</v>
      </c>
      <c r="B467" s="82" t="s">
        <v>3521</v>
      </c>
      <c r="C467" s="82" t="str">
        <f t="shared" si="16"/>
        <v>SC-026  - Milford (Old Post Office)</v>
      </c>
      <c r="D467" s="96" t="s">
        <v>3522</v>
      </c>
      <c r="E467" s="96" t="s">
        <v>29</v>
      </c>
      <c r="F467" s="97" t="s">
        <v>205</v>
      </c>
      <c r="G467" s="97"/>
      <c r="H467" s="96" t="s">
        <v>3523</v>
      </c>
      <c r="I467" s="99" t="s">
        <v>1124</v>
      </c>
      <c r="J467" s="95">
        <v>18</v>
      </c>
      <c r="K467" s="95">
        <v>36</v>
      </c>
      <c r="L467" s="113" t="s">
        <v>3524</v>
      </c>
      <c r="M467" s="112">
        <v>-75.427940000000007</v>
      </c>
      <c r="N467" s="101" t="s">
        <v>3525</v>
      </c>
      <c r="O467" s="82" t="s">
        <v>208</v>
      </c>
      <c r="P467" s="82">
        <v>19963</v>
      </c>
      <c r="Q467" s="82" t="s">
        <v>3526</v>
      </c>
      <c r="R467" s="82" t="s">
        <v>37</v>
      </c>
      <c r="S467" s="82"/>
      <c r="T467" s="82" t="s">
        <v>56</v>
      </c>
      <c r="U467" s="97">
        <v>1933</v>
      </c>
      <c r="V467" s="97">
        <v>1933</v>
      </c>
      <c r="W467" s="97" t="s">
        <v>66</v>
      </c>
      <c r="X467" s="97">
        <v>2019</v>
      </c>
      <c r="Y467" s="102" t="s">
        <v>3527</v>
      </c>
      <c r="Z467" s="102" t="s">
        <v>3528</v>
      </c>
    </row>
    <row r="468" spans="1:26" s="104" customFormat="1" ht="38.25" x14ac:dyDescent="0.25">
      <c r="A468" s="82" t="s">
        <v>3529</v>
      </c>
      <c r="B468" s="82" t="s">
        <v>3453</v>
      </c>
      <c r="C468" s="82" t="str">
        <f t="shared" si="16"/>
        <v>SC-027  - Cedar Creek Hundred</v>
      </c>
      <c r="D468" s="115" t="s">
        <v>3530</v>
      </c>
      <c r="E468" s="96" t="s">
        <v>29</v>
      </c>
      <c r="F468" s="97" t="s">
        <v>48</v>
      </c>
      <c r="G468" s="97" t="s">
        <v>48</v>
      </c>
      <c r="H468" s="96" t="s">
        <v>3384</v>
      </c>
      <c r="I468" s="99" t="s">
        <v>1124</v>
      </c>
      <c r="J468" s="95">
        <v>8</v>
      </c>
      <c r="K468" s="95">
        <v>36</v>
      </c>
      <c r="L468" s="100" t="s">
        <v>3531</v>
      </c>
      <c r="M468" s="100" t="s">
        <v>3532</v>
      </c>
      <c r="N468" s="101" t="s">
        <v>3533</v>
      </c>
      <c r="O468" s="82" t="s">
        <v>3534</v>
      </c>
      <c r="P468" s="82">
        <v>19968</v>
      </c>
      <c r="Q468" s="82"/>
      <c r="R468" s="82" t="s">
        <v>37</v>
      </c>
      <c r="S468" s="82" t="s">
        <v>3535</v>
      </c>
      <c r="T468" s="82" t="s">
        <v>56</v>
      </c>
      <c r="U468" s="97">
        <v>1933</v>
      </c>
      <c r="V468" s="97">
        <v>1933</v>
      </c>
      <c r="W468" s="97" t="s">
        <v>66</v>
      </c>
      <c r="X468" s="97">
        <v>1967</v>
      </c>
      <c r="Y468" s="131" t="s">
        <v>3536</v>
      </c>
      <c r="Z468" s="131" t="s">
        <v>3537</v>
      </c>
    </row>
    <row r="469" spans="1:26" s="104" customFormat="1" ht="30" x14ac:dyDescent="0.25">
      <c r="A469" s="104" t="s">
        <v>3538</v>
      </c>
      <c r="B469" s="104" t="s">
        <v>3539</v>
      </c>
      <c r="C469" s="104" t="str">
        <f t="shared" si="16"/>
        <v>SC-028  - Broadkiln Hundred</v>
      </c>
      <c r="D469" s="106" t="s">
        <v>98</v>
      </c>
      <c r="E469" s="106" t="s">
        <v>71</v>
      </c>
      <c r="F469" s="107" t="s">
        <v>48</v>
      </c>
      <c r="G469" s="107" t="s">
        <v>48</v>
      </c>
      <c r="H469" s="106"/>
      <c r="I469" s="108" t="s">
        <v>1124</v>
      </c>
      <c r="J469" s="105">
        <v>6</v>
      </c>
      <c r="K469" s="105">
        <v>20</v>
      </c>
      <c r="L469" s="143" t="s">
        <v>3540</v>
      </c>
      <c r="M469" s="143" t="s">
        <v>3541</v>
      </c>
      <c r="N469" s="104" t="s">
        <v>3542</v>
      </c>
      <c r="O469" s="104" t="s">
        <v>3534</v>
      </c>
      <c r="P469" s="104">
        <v>19968</v>
      </c>
      <c r="R469" s="104" t="s">
        <v>37</v>
      </c>
      <c r="T469" s="104" t="s">
        <v>56</v>
      </c>
      <c r="U469" s="107">
        <v>1933</v>
      </c>
      <c r="V469" s="107">
        <v>1933</v>
      </c>
      <c r="W469" s="107" t="s">
        <v>66</v>
      </c>
      <c r="X469" s="107"/>
      <c r="Y469" s="111"/>
      <c r="Z469" s="111"/>
    </row>
    <row r="470" spans="1:26" s="104" customFormat="1" ht="45" x14ac:dyDescent="0.25">
      <c r="A470" s="82" t="s">
        <v>3543</v>
      </c>
      <c r="B470" s="82" t="s">
        <v>3539</v>
      </c>
      <c r="C470" s="82" t="str">
        <f t="shared" si="16"/>
        <v>SC-029  - Broadkiln Hundred</v>
      </c>
      <c r="D470" s="96" t="s">
        <v>3544</v>
      </c>
      <c r="E470" s="96" t="s">
        <v>29</v>
      </c>
      <c r="F470" s="97" t="s">
        <v>48</v>
      </c>
      <c r="G470" s="97" t="s">
        <v>48</v>
      </c>
      <c r="H470" s="96" t="s">
        <v>2303</v>
      </c>
      <c r="I470" s="99" t="s">
        <v>1124</v>
      </c>
      <c r="J470" s="95">
        <v>6</v>
      </c>
      <c r="K470" s="95">
        <v>20</v>
      </c>
      <c r="L470" s="100" t="s">
        <v>3545</v>
      </c>
      <c r="M470" s="100" t="s">
        <v>3546</v>
      </c>
      <c r="N470" s="101" t="s">
        <v>3547</v>
      </c>
      <c r="O470" s="82" t="s">
        <v>3548</v>
      </c>
      <c r="P470" s="82">
        <v>19958</v>
      </c>
      <c r="Q470" s="82"/>
      <c r="R470" s="82" t="s">
        <v>37</v>
      </c>
      <c r="S470" s="82"/>
      <c r="T470" s="82" t="s">
        <v>56</v>
      </c>
      <c r="U470" s="97">
        <v>1933</v>
      </c>
      <c r="V470" s="97">
        <v>1933</v>
      </c>
      <c r="W470" s="97" t="s">
        <v>66</v>
      </c>
      <c r="X470" s="97" t="s">
        <v>3549</v>
      </c>
      <c r="Y470" s="131" t="s">
        <v>3550</v>
      </c>
      <c r="Z470" s="102" t="s">
        <v>3551</v>
      </c>
    </row>
    <row r="471" spans="1:26" s="104" customFormat="1" ht="30" x14ac:dyDescent="0.25">
      <c r="A471" s="104" t="s">
        <v>3552</v>
      </c>
      <c r="B471" s="104" t="s">
        <v>3553</v>
      </c>
      <c r="C471" s="104" t="str">
        <f t="shared" si="16"/>
        <v>SC-030  - Lewes &amp; Rehoboth Hundred</v>
      </c>
      <c r="D471" s="106" t="s">
        <v>98</v>
      </c>
      <c r="E471" s="106" t="s">
        <v>71</v>
      </c>
      <c r="F471" s="107" t="s">
        <v>48</v>
      </c>
      <c r="G471" s="107" t="s">
        <v>48</v>
      </c>
      <c r="H471" s="106"/>
      <c r="I471" s="108" t="s">
        <v>1124</v>
      </c>
      <c r="J471" s="105">
        <v>6</v>
      </c>
      <c r="K471" s="105">
        <v>20</v>
      </c>
      <c r="L471" s="143" t="s">
        <v>3554</v>
      </c>
      <c r="M471" s="143" t="s">
        <v>3555</v>
      </c>
      <c r="N471" s="110" t="s">
        <v>3556</v>
      </c>
      <c r="O471" s="104" t="s">
        <v>3548</v>
      </c>
      <c r="P471" s="104">
        <v>19958</v>
      </c>
      <c r="R471" s="104" t="s">
        <v>37</v>
      </c>
      <c r="T471" s="104" t="s">
        <v>56</v>
      </c>
      <c r="U471" s="107">
        <v>1933</v>
      </c>
      <c r="V471" s="107">
        <v>1933</v>
      </c>
      <c r="W471" s="107" t="s">
        <v>66</v>
      </c>
      <c r="X471" s="107"/>
      <c r="Y471" s="111"/>
      <c r="Z471" s="111"/>
    </row>
    <row r="472" spans="1:26" s="145" customFormat="1" ht="63.75" x14ac:dyDescent="0.25">
      <c r="A472" s="82" t="s">
        <v>3557</v>
      </c>
      <c r="B472" s="82" t="s">
        <v>3558</v>
      </c>
      <c r="C472" s="82" t="str">
        <f t="shared" si="16"/>
        <v>SC-031  - Lewes (Hoorn Kil)</v>
      </c>
      <c r="D472" s="115" t="s">
        <v>3559</v>
      </c>
      <c r="E472" s="96" t="s">
        <v>29</v>
      </c>
      <c r="F472" s="97" t="s">
        <v>205</v>
      </c>
      <c r="G472" s="97"/>
      <c r="H472" s="96" t="s">
        <v>3560</v>
      </c>
      <c r="I472" s="99" t="s">
        <v>1222</v>
      </c>
      <c r="J472" s="95">
        <v>8</v>
      </c>
      <c r="K472" s="95">
        <v>20</v>
      </c>
      <c r="L472" s="113" t="s">
        <v>3561</v>
      </c>
      <c r="M472" s="112">
        <v>-75.139960000000002</v>
      </c>
      <c r="N472" s="101" t="s">
        <v>3562</v>
      </c>
      <c r="O472" s="82" t="s">
        <v>3548</v>
      </c>
      <c r="P472" s="82">
        <v>19958</v>
      </c>
      <c r="Q472" s="82" t="s">
        <v>3563</v>
      </c>
      <c r="R472" s="82" t="s">
        <v>37</v>
      </c>
      <c r="S472" s="82" t="s">
        <v>3564</v>
      </c>
      <c r="T472" s="82" t="s">
        <v>38</v>
      </c>
      <c r="U472" s="97">
        <v>1933</v>
      </c>
      <c r="V472" s="97">
        <v>1933</v>
      </c>
      <c r="W472" s="97" t="s">
        <v>39</v>
      </c>
      <c r="X472" s="97" t="s">
        <v>3565</v>
      </c>
      <c r="Y472" s="102" t="s">
        <v>3566</v>
      </c>
      <c r="Z472" s="102" t="s">
        <v>3567</v>
      </c>
    </row>
    <row r="473" spans="1:26" s="82" customFormat="1" ht="45" x14ac:dyDescent="0.25">
      <c r="A473" s="82" t="s">
        <v>3568</v>
      </c>
      <c r="B473" s="82" t="s">
        <v>3558</v>
      </c>
      <c r="C473" s="82" t="str">
        <f t="shared" si="16"/>
        <v>SC-032  - Lewes (Hoorn Kil)</v>
      </c>
      <c r="D473" s="96" t="s">
        <v>3569</v>
      </c>
      <c r="E473" s="96" t="s">
        <v>29</v>
      </c>
      <c r="F473" s="97" t="s">
        <v>205</v>
      </c>
      <c r="G473" s="97"/>
      <c r="H473" s="96" t="s">
        <v>247</v>
      </c>
      <c r="I473" s="99" t="s">
        <v>1124</v>
      </c>
      <c r="J473" s="95">
        <v>8</v>
      </c>
      <c r="K473" s="95">
        <v>20</v>
      </c>
      <c r="L473" s="113">
        <v>38.765039999999999</v>
      </c>
      <c r="M473" s="112">
        <v>-75.149169999999998</v>
      </c>
      <c r="N473" s="101" t="s">
        <v>3570</v>
      </c>
      <c r="O473" s="82" t="s">
        <v>3548</v>
      </c>
      <c r="P473" s="82">
        <v>19958</v>
      </c>
      <c r="R473" s="82" t="s">
        <v>37</v>
      </c>
      <c r="T473" s="82" t="s">
        <v>56</v>
      </c>
      <c r="U473" s="97">
        <v>1933</v>
      </c>
      <c r="V473" s="97">
        <v>1933</v>
      </c>
      <c r="W473" s="97" t="s">
        <v>66</v>
      </c>
      <c r="X473" s="97">
        <v>1959</v>
      </c>
      <c r="Y473" s="102" t="s">
        <v>3571</v>
      </c>
      <c r="Z473" s="102" t="s">
        <v>3572</v>
      </c>
    </row>
    <row r="474" spans="1:26" s="104" customFormat="1" ht="45" x14ac:dyDescent="0.25">
      <c r="A474" s="104" t="s">
        <v>3573</v>
      </c>
      <c r="B474" s="104" t="s">
        <v>3574</v>
      </c>
      <c r="C474" s="104" t="str">
        <f t="shared" si="16"/>
        <v>SC-033  - Lewes (Shields Elem)</v>
      </c>
      <c r="D474" s="106" t="s">
        <v>3575</v>
      </c>
      <c r="E474" s="106" t="s">
        <v>71</v>
      </c>
      <c r="F474" s="107" t="s">
        <v>205</v>
      </c>
      <c r="G474" s="107"/>
      <c r="H474" s="106"/>
      <c r="I474" s="108" t="s">
        <v>1124</v>
      </c>
      <c r="J474" s="105">
        <v>8</v>
      </c>
      <c r="K474" s="105">
        <v>20</v>
      </c>
      <c r="L474" s="142">
        <v>38.767769999999999</v>
      </c>
      <c r="M474" s="109">
        <v>-75.146270000000001</v>
      </c>
      <c r="N474" s="110" t="s">
        <v>3576</v>
      </c>
      <c r="O474" s="104" t="s">
        <v>3548</v>
      </c>
      <c r="P474" s="104">
        <v>19958</v>
      </c>
      <c r="R474" s="104" t="s">
        <v>37</v>
      </c>
      <c r="S474" s="104" t="s">
        <v>3577</v>
      </c>
      <c r="T474" s="104" t="s">
        <v>56</v>
      </c>
      <c r="U474" s="107">
        <v>1933</v>
      </c>
      <c r="V474" s="107">
        <v>1933</v>
      </c>
      <c r="W474" s="107" t="s">
        <v>66</v>
      </c>
      <c r="X474" s="107">
        <v>1959</v>
      </c>
      <c r="Y474" s="111"/>
      <c r="Z474" s="111"/>
    </row>
    <row r="475" spans="1:26" s="145" customFormat="1" ht="76.5" x14ac:dyDescent="0.25">
      <c r="A475" s="82" t="s">
        <v>3578</v>
      </c>
      <c r="B475" s="82" t="s">
        <v>3579</v>
      </c>
      <c r="C475" s="82" t="str">
        <f t="shared" si="16"/>
        <v>SC-034  - Lewes (Zwaanendael)</v>
      </c>
      <c r="D475" s="96" t="s">
        <v>3580</v>
      </c>
      <c r="E475" s="96" t="s">
        <v>29</v>
      </c>
      <c r="F475" s="97" t="s">
        <v>205</v>
      </c>
      <c r="G475" s="97"/>
      <c r="H475" s="96" t="s">
        <v>183</v>
      </c>
      <c r="I475" s="99" t="s">
        <v>1124</v>
      </c>
      <c r="J475" s="95">
        <v>8</v>
      </c>
      <c r="K475" s="95">
        <v>20</v>
      </c>
      <c r="L475" s="113" t="s">
        <v>3581</v>
      </c>
      <c r="M475" s="112">
        <v>-75.139399999999995</v>
      </c>
      <c r="N475" s="101" t="s">
        <v>3582</v>
      </c>
      <c r="O475" s="82" t="s">
        <v>3548</v>
      </c>
      <c r="P475" s="82">
        <v>19958</v>
      </c>
      <c r="Q475" s="82"/>
      <c r="R475" s="82" t="s">
        <v>37</v>
      </c>
      <c r="S475" s="82"/>
      <c r="T475" s="82" t="s">
        <v>56</v>
      </c>
      <c r="U475" s="97">
        <v>1933</v>
      </c>
      <c r="V475" s="97">
        <v>1933</v>
      </c>
      <c r="W475" s="97" t="s">
        <v>66</v>
      </c>
      <c r="X475" s="97"/>
      <c r="Y475" s="102" t="s">
        <v>3583</v>
      </c>
      <c r="Z475" s="102" t="s">
        <v>3584</v>
      </c>
    </row>
    <row r="476" spans="1:26" s="82" customFormat="1" ht="60" x14ac:dyDescent="0.25">
      <c r="A476" s="149" t="s">
        <v>3585</v>
      </c>
      <c r="B476" s="149" t="s">
        <v>3548</v>
      </c>
      <c r="C476" s="149" t="str">
        <f t="shared" si="16"/>
        <v>SC-035  - Lewes</v>
      </c>
      <c r="D476" s="151" t="s">
        <v>3586</v>
      </c>
      <c r="E476" s="151" t="s">
        <v>66</v>
      </c>
      <c r="F476" s="152" t="s">
        <v>205</v>
      </c>
      <c r="G476" s="152"/>
      <c r="H476" s="151"/>
      <c r="I476" s="153" t="s">
        <v>1124</v>
      </c>
      <c r="J476" s="150">
        <v>8</v>
      </c>
      <c r="K476" s="150">
        <v>20</v>
      </c>
      <c r="L476" s="154"/>
      <c r="M476" s="154"/>
      <c r="N476" s="156" t="s">
        <v>3587</v>
      </c>
      <c r="O476" s="149" t="s">
        <v>3548</v>
      </c>
      <c r="P476" s="149"/>
      <c r="Q476" s="149"/>
      <c r="R476" s="149" t="s">
        <v>37</v>
      </c>
      <c r="S476" s="149" t="s">
        <v>3588</v>
      </c>
      <c r="T476" s="149" t="s">
        <v>56</v>
      </c>
      <c r="U476" s="152">
        <v>1933</v>
      </c>
      <c r="V476" s="152">
        <v>1933</v>
      </c>
      <c r="W476" s="152" t="s">
        <v>66</v>
      </c>
      <c r="X476" s="152"/>
      <c r="Y476" s="155"/>
      <c r="Z476" s="155"/>
    </row>
    <row r="477" spans="1:26" s="82" customFormat="1" ht="45" x14ac:dyDescent="0.25">
      <c r="A477" s="82" t="s">
        <v>3589</v>
      </c>
      <c r="B477" s="82" t="s">
        <v>3471</v>
      </c>
      <c r="C477" s="82" t="str">
        <f t="shared" si="16"/>
        <v>SC-036  - Georgetown</v>
      </c>
      <c r="D477" s="115" t="s">
        <v>3590</v>
      </c>
      <c r="E477" s="96" t="s">
        <v>3591</v>
      </c>
      <c r="F477" s="97" t="s">
        <v>205</v>
      </c>
      <c r="G477" s="97"/>
      <c r="H477" s="96"/>
      <c r="I477" s="99" t="s">
        <v>1124</v>
      </c>
      <c r="J477" s="95">
        <v>19</v>
      </c>
      <c r="K477" s="95">
        <v>37</v>
      </c>
      <c r="L477" s="100" t="s">
        <v>3592</v>
      </c>
      <c r="M477" s="100" t="s">
        <v>3593</v>
      </c>
      <c r="N477" s="101" t="s">
        <v>3594</v>
      </c>
      <c r="O477" s="82" t="s">
        <v>3471</v>
      </c>
      <c r="P477" s="82">
        <v>19947</v>
      </c>
      <c r="R477" s="82" t="s">
        <v>37</v>
      </c>
      <c r="T477" s="82" t="s">
        <v>56</v>
      </c>
      <c r="U477" s="97">
        <v>1933</v>
      </c>
      <c r="V477" s="97">
        <v>1933</v>
      </c>
      <c r="W477" s="97" t="s">
        <v>66</v>
      </c>
      <c r="X477" s="97">
        <v>1968</v>
      </c>
      <c r="Y477" s="102" t="s">
        <v>3595</v>
      </c>
      <c r="Z477" s="102" t="s">
        <v>3596</v>
      </c>
    </row>
    <row r="478" spans="1:26" s="146" customFormat="1" ht="30" x14ac:dyDescent="0.25">
      <c r="A478" s="104" t="s">
        <v>3597</v>
      </c>
      <c r="B478" s="104" t="s">
        <v>3467</v>
      </c>
      <c r="C478" s="104" t="str">
        <f t="shared" si="16"/>
        <v>SC-037  - Georgetown Hundred</v>
      </c>
      <c r="D478" s="106" t="s">
        <v>98</v>
      </c>
      <c r="E478" s="106" t="s">
        <v>71</v>
      </c>
      <c r="F478" s="107" t="s">
        <v>48</v>
      </c>
      <c r="G478" s="107" t="s">
        <v>48</v>
      </c>
      <c r="H478" s="106"/>
      <c r="I478" s="108" t="s">
        <v>1124</v>
      </c>
      <c r="J478" s="105">
        <v>19</v>
      </c>
      <c r="K478" s="105">
        <v>20</v>
      </c>
      <c r="L478" s="143" t="s">
        <v>3598</v>
      </c>
      <c r="M478" s="143" t="s">
        <v>3599</v>
      </c>
      <c r="N478" s="110" t="s">
        <v>3600</v>
      </c>
      <c r="O478" s="104" t="s">
        <v>3471</v>
      </c>
      <c r="P478" s="104">
        <v>19947</v>
      </c>
      <c r="Q478" s="104"/>
      <c r="R478" s="104" t="s">
        <v>37</v>
      </c>
      <c r="S478" s="104"/>
      <c r="T478" s="104" t="s">
        <v>56</v>
      </c>
      <c r="U478" s="107">
        <v>1933</v>
      </c>
      <c r="V478" s="107">
        <v>1933</v>
      </c>
      <c r="W478" s="107" t="s">
        <v>66</v>
      </c>
      <c r="X478" s="107"/>
      <c r="Y478" s="111"/>
      <c r="Z478" s="111"/>
    </row>
    <row r="479" spans="1:26" s="82" customFormat="1" ht="30" x14ac:dyDescent="0.25">
      <c r="A479" s="104" t="s">
        <v>3601</v>
      </c>
      <c r="B479" s="104" t="s">
        <v>3539</v>
      </c>
      <c r="C479" s="104" t="str">
        <f t="shared" si="16"/>
        <v>SC-038  - Broadkiln Hundred</v>
      </c>
      <c r="D479" s="106" t="s">
        <v>98</v>
      </c>
      <c r="E479" s="106" t="s">
        <v>71</v>
      </c>
      <c r="F479" s="107" t="s">
        <v>48</v>
      </c>
      <c r="G479" s="107" t="s">
        <v>48</v>
      </c>
      <c r="H479" s="106"/>
      <c r="I479" s="108" t="s">
        <v>1124</v>
      </c>
      <c r="J479" s="105">
        <v>19</v>
      </c>
      <c r="K479" s="105">
        <v>37</v>
      </c>
      <c r="L479" s="143" t="s">
        <v>3602</v>
      </c>
      <c r="M479" s="143" t="s">
        <v>3603</v>
      </c>
      <c r="N479" s="110" t="s">
        <v>3604</v>
      </c>
      <c r="O479" s="104" t="s">
        <v>3471</v>
      </c>
      <c r="P479" s="104">
        <v>19947</v>
      </c>
      <c r="Q479" s="104"/>
      <c r="R479" s="104" t="s">
        <v>37</v>
      </c>
      <c r="S479" s="104"/>
      <c r="T479" s="104" t="s">
        <v>56</v>
      </c>
      <c r="U479" s="107">
        <v>1933</v>
      </c>
      <c r="V479" s="107">
        <v>1933</v>
      </c>
      <c r="W479" s="107" t="s">
        <v>66</v>
      </c>
      <c r="X479" s="107"/>
      <c r="Y479" s="111"/>
      <c r="Z479" s="111"/>
    </row>
    <row r="480" spans="1:26" s="146" customFormat="1" ht="30" x14ac:dyDescent="0.25">
      <c r="A480" s="104" t="s">
        <v>3605</v>
      </c>
      <c r="B480" s="104" t="s">
        <v>3539</v>
      </c>
      <c r="C480" s="104" t="str">
        <f t="shared" si="16"/>
        <v>SC-039  - Broadkiln Hundred</v>
      </c>
      <c r="D480" s="106" t="s">
        <v>98</v>
      </c>
      <c r="E480" s="106" t="s">
        <v>71</v>
      </c>
      <c r="F480" s="107" t="s">
        <v>48</v>
      </c>
      <c r="G480" s="107" t="s">
        <v>48</v>
      </c>
      <c r="H480" s="106"/>
      <c r="I480" s="108" t="s">
        <v>1124</v>
      </c>
      <c r="J480" s="105">
        <v>6</v>
      </c>
      <c r="K480" s="105">
        <v>20</v>
      </c>
      <c r="L480" s="143" t="s">
        <v>3606</v>
      </c>
      <c r="M480" s="143" t="s">
        <v>3607</v>
      </c>
      <c r="N480" s="110" t="s">
        <v>3608</v>
      </c>
      <c r="O480" s="104" t="s">
        <v>3534</v>
      </c>
      <c r="P480" s="104">
        <v>19968</v>
      </c>
      <c r="Q480" s="104"/>
      <c r="R480" s="104" t="s">
        <v>37</v>
      </c>
      <c r="S480" s="104"/>
      <c r="T480" s="104" t="s">
        <v>56</v>
      </c>
      <c r="U480" s="107">
        <v>1933</v>
      </c>
      <c r="V480" s="107">
        <v>1933</v>
      </c>
      <c r="W480" s="107" t="s">
        <v>66</v>
      </c>
      <c r="X480" s="107"/>
      <c r="Y480" s="111"/>
      <c r="Z480" s="111"/>
    </row>
    <row r="481" spans="1:26" s="82" customFormat="1" ht="30" x14ac:dyDescent="0.25">
      <c r="A481" s="104" t="s">
        <v>3609</v>
      </c>
      <c r="B481" s="104" t="s">
        <v>3553</v>
      </c>
      <c r="C481" s="104" t="str">
        <f t="shared" si="16"/>
        <v>SC-040  - Lewes &amp; Rehoboth Hundred</v>
      </c>
      <c r="D481" s="106" t="s">
        <v>98</v>
      </c>
      <c r="E481" s="106" t="s">
        <v>71</v>
      </c>
      <c r="F481" s="107" t="s">
        <v>48</v>
      </c>
      <c r="G481" s="107" t="s">
        <v>48</v>
      </c>
      <c r="H481" s="106"/>
      <c r="I481" s="108" t="s">
        <v>1124</v>
      </c>
      <c r="J481" s="105">
        <v>6</v>
      </c>
      <c r="K481" s="105">
        <v>20</v>
      </c>
      <c r="L481" s="143" t="s">
        <v>3610</v>
      </c>
      <c r="M481" s="143" t="s">
        <v>3611</v>
      </c>
      <c r="N481" s="110" t="s">
        <v>3612</v>
      </c>
      <c r="O481" s="104" t="s">
        <v>3534</v>
      </c>
      <c r="P481" s="104">
        <v>19968</v>
      </c>
      <c r="Q481" s="104"/>
      <c r="R481" s="104" t="s">
        <v>37</v>
      </c>
      <c r="S481" s="104"/>
      <c r="T481" s="104" t="s">
        <v>56</v>
      </c>
      <c r="U481" s="107">
        <v>1933</v>
      </c>
      <c r="V481" s="107">
        <v>1933</v>
      </c>
      <c r="W481" s="107" t="s">
        <v>66</v>
      </c>
      <c r="X481" s="107"/>
      <c r="Y481" s="111"/>
      <c r="Z481" s="111"/>
    </row>
    <row r="482" spans="1:26" s="82" customFormat="1" ht="30" x14ac:dyDescent="0.25">
      <c r="A482" s="104" t="s">
        <v>3613</v>
      </c>
      <c r="B482" s="104" t="s">
        <v>3467</v>
      </c>
      <c r="C482" s="104" t="str">
        <f t="shared" si="16"/>
        <v>SC-041  - Georgetown Hundred</v>
      </c>
      <c r="D482" s="106" t="s">
        <v>98</v>
      </c>
      <c r="E482" s="106" t="s">
        <v>71</v>
      </c>
      <c r="F482" s="107" t="s">
        <v>48</v>
      </c>
      <c r="G482" s="107" t="s">
        <v>48</v>
      </c>
      <c r="H482" s="106"/>
      <c r="I482" s="108" t="s">
        <v>1124</v>
      </c>
      <c r="J482" s="105">
        <v>19</v>
      </c>
      <c r="K482" s="105">
        <v>35</v>
      </c>
      <c r="L482" s="143" t="s">
        <v>3614</v>
      </c>
      <c r="M482" s="143" t="s">
        <v>3615</v>
      </c>
      <c r="N482" s="110" t="s">
        <v>3616</v>
      </c>
      <c r="O482" s="104" t="s">
        <v>3471</v>
      </c>
      <c r="P482" s="104">
        <v>19947</v>
      </c>
      <c r="Q482" s="104"/>
      <c r="R482" s="104" t="s">
        <v>37</v>
      </c>
      <c r="S482" s="104" t="s">
        <v>3617</v>
      </c>
      <c r="T482" s="104" t="s">
        <v>56</v>
      </c>
      <c r="U482" s="107">
        <v>1933</v>
      </c>
      <c r="V482" s="107">
        <v>1933</v>
      </c>
      <c r="W482" s="107" t="s">
        <v>66</v>
      </c>
      <c r="X482" s="107"/>
      <c r="Y482" s="111"/>
      <c r="Z482" s="111"/>
    </row>
    <row r="483" spans="1:26" s="146" customFormat="1" ht="30" x14ac:dyDescent="0.25">
      <c r="A483" s="104" t="s">
        <v>3618</v>
      </c>
      <c r="B483" s="104" t="s">
        <v>3619</v>
      </c>
      <c r="C483" s="104" t="str">
        <f t="shared" si="16"/>
        <v>SC-042  - Nanticoke Hundred</v>
      </c>
      <c r="D483" s="106" t="s">
        <v>98</v>
      </c>
      <c r="E483" s="106" t="s">
        <v>71</v>
      </c>
      <c r="F483" s="107" t="s">
        <v>48</v>
      </c>
      <c r="G483" s="107" t="s">
        <v>48</v>
      </c>
      <c r="H483" s="106"/>
      <c r="I483" s="108" t="s">
        <v>1124</v>
      </c>
      <c r="J483" s="105">
        <v>19</v>
      </c>
      <c r="K483" s="105">
        <v>35</v>
      </c>
      <c r="L483" s="143" t="s">
        <v>3620</v>
      </c>
      <c r="M483" s="143" t="s">
        <v>3621</v>
      </c>
      <c r="N483" s="110" t="s">
        <v>3616</v>
      </c>
      <c r="O483" s="104" t="s">
        <v>3471</v>
      </c>
      <c r="P483" s="104">
        <v>19947</v>
      </c>
      <c r="Q483" s="104"/>
      <c r="R483" s="104" t="s">
        <v>37</v>
      </c>
      <c r="S483" s="104" t="s">
        <v>3622</v>
      </c>
      <c r="T483" s="104" t="s">
        <v>56</v>
      </c>
      <c r="U483" s="107">
        <v>1933</v>
      </c>
      <c r="V483" s="107">
        <v>1933</v>
      </c>
      <c r="W483" s="107" t="s">
        <v>66</v>
      </c>
      <c r="X483" s="107"/>
      <c r="Y483" s="111"/>
      <c r="Z483" s="111"/>
    </row>
    <row r="484" spans="1:26" s="82" customFormat="1" ht="30" x14ac:dyDescent="0.25">
      <c r="A484" s="104" t="s">
        <v>3623</v>
      </c>
      <c r="B484" s="104" t="s">
        <v>3619</v>
      </c>
      <c r="C484" s="104" t="str">
        <f t="shared" si="16"/>
        <v>SC-043  - Nanticoke Hundred</v>
      </c>
      <c r="D484" s="106" t="s">
        <v>98</v>
      </c>
      <c r="E484" s="106" t="s">
        <v>71</v>
      </c>
      <c r="F484" s="107" t="s">
        <v>48</v>
      </c>
      <c r="G484" s="107" t="s">
        <v>48</v>
      </c>
      <c r="H484" s="106"/>
      <c r="I484" s="108" t="s">
        <v>1124</v>
      </c>
      <c r="J484" s="105">
        <v>19</v>
      </c>
      <c r="K484" s="105">
        <v>37</v>
      </c>
      <c r="L484" s="143" t="s">
        <v>3624</v>
      </c>
      <c r="M484" s="143" t="s">
        <v>3625</v>
      </c>
      <c r="N484" s="110" t="s">
        <v>3626</v>
      </c>
      <c r="O484" s="104" t="s">
        <v>3407</v>
      </c>
      <c r="P484" s="104">
        <v>19973</v>
      </c>
      <c r="Q484" s="104"/>
      <c r="R484" s="104" t="s">
        <v>37</v>
      </c>
      <c r="S484" s="104" t="s">
        <v>3627</v>
      </c>
      <c r="T484" s="104" t="s">
        <v>56</v>
      </c>
      <c r="U484" s="107">
        <v>1932</v>
      </c>
      <c r="V484" s="107">
        <v>1932</v>
      </c>
      <c r="W484" s="107" t="s">
        <v>66</v>
      </c>
      <c r="X484" s="107"/>
      <c r="Y484" s="111"/>
      <c r="Z484" s="111"/>
    </row>
    <row r="485" spans="1:26" s="145" customFormat="1" ht="30" x14ac:dyDescent="0.25">
      <c r="A485" s="104" t="s">
        <v>3628</v>
      </c>
      <c r="B485" s="104" t="s">
        <v>3423</v>
      </c>
      <c r="C485" s="104" t="str">
        <f t="shared" si="16"/>
        <v>SC-044  - Broad Creek Hundred</v>
      </c>
      <c r="D485" s="106" t="s">
        <v>98</v>
      </c>
      <c r="E485" s="106" t="s">
        <v>71</v>
      </c>
      <c r="F485" s="107" t="s">
        <v>48</v>
      </c>
      <c r="G485" s="107" t="s">
        <v>48</v>
      </c>
      <c r="H485" s="106"/>
      <c r="I485" s="108" t="s">
        <v>1124</v>
      </c>
      <c r="J485" s="105">
        <v>19</v>
      </c>
      <c r="K485" s="105">
        <v>35</v>
      </c>
      <c r="L485" s="143" t="s">
        <v>3629</v>
      </c>
      <c r="M485" s="143" t="s">
        <v>3630</v>
      </c>
      <c r="N485" s="110" t="s">
        <v>3631</v>
      </c>
      <c r="O485" s="104" t="s">
        <v>3407</v>
      </c>
      <c r="P485" s="104">
        <v>19973</v>
      </c>
      <c r="Q485" s="104"/>
      <c r="R485" s="104" t="s">
        <v>37</v>
      </c>
      <c r="S485" s="104" t="s">
        <v>3632</v>
      </c>
      <c r="T485" s="104" t="s">
        <v>56</v>
      </c>
      <c r="U485" s="107">
        <v>1932</v>
      </c>
      <c r="V485" s="107">
        <v>1932</v>
      </c>
      <c r="W485" s="107" t="s">
        <v>66</v>
      </c>
      <c r="X485" s="107">
        <v>1967</v>
      </c>
      <c r="Y485" s="111"/>
      <c r="Z485" s="111"/>
    </row>
    <row r="486" spans="1:26" s="82" customFormat="1" ht="30" x14ac:dyDescent="0.25">
      <c r="A486" s="104" t="s">
        <v>3633</v>
      </c>
      <c r="B486" s="104" t="s">
        <v>3423</v>
      </c>
      <c r="C486" s="104" t="str">
        <f t="shared" si="16"/>
        <v>SC-045  - Broad Creek Hundred</v>
      </c>
      <c r="D486" s="106" t="s">
        <v>98</v>
      </c>
      <c r="E486" s="106" t="s">
        <v>71</v>
      </c>
      <c r="F486" s="107" t="s">
        <v>48</v>
      </c>
      <c r="G486" s="107" t="s">
        <v>48</v>
      </c>
      <c r="H486" s="106"/>
      <c r="I486" s="108" t="s">
        <v>1124</v>
      </c>
      <c r="J486" s="105">
        <v>19</v>
      </c>
      <c r="K486" s="105">
        <v>35</v>
      </c>
      <c r="L486" s="143" t="s">
        <v>3634</v>
      </c>
      <c r="M486" s="143" t="s">
        <v>3635</v>
      </c>
      <c r="N486" s="110" t="s">
        <v>3636</v>
      </c>
      <c r="O486" s="104" t="s">
        <v>3407</v>
      </c>
      <c r="P486" s="104">
        <v>19973</v>
      </c>
      <c r="Q486" s="104"/>
      <c r="R486" s="104" t="s">
        <v>37</v>
      </c>
      <c r="S486" s="104" t="s">
        <v>3637</v>
      </c>
      <c r="T486" s="104" t="s">
        <v>56</v>
      </c>
      <c r="U486" s="107">
        <v>1932</v>
      </c>
      <c r="V486" s="107">
        <v>1966</v>
      </c>
      <c r="W486" s="107" t="s">
        <v>66</v>
      </c>
      <c r="X486" s="107">
        <v>1966</v>
      </c>
      <c r="Y486" s="111"/>
      <c r="Z486" s="111"/>
    </row>
    <row r="487" spans="1:26" s="104" customFormat="1" ht="30" x14ac:dyDescent="0.25">
      <c r="A487" s="104" t="s">
        <v>3638</v>
      </c>
      <c r="B487" s="104" t="s">
        <v>3471</v>
      </c>
      <c r="C487" s="104" t="str">
        <f t="shared" si="16"/>
        <v>SC-046  - Georgetown</v>
      </c>
      <c r="D487" s="106" t="s">
        <v>98</v>
      </c>
      <c r="E487" s="106" t="s">
        <v>71</v>
      </c>
      <c r="F487" s="107" t="s">
        <v>205</v>
      </c>
      <c r="G487" s="107"/>
      <c r="H487" s="106"/>
      <c r="I487" s="108" t="s">
        <v>1124</v>
      </c>
      <c r="J487" s="105">
        <v>19</v>
      </c>
      <c r="K487" s="105">
        <v>37</v>
      </c>
      <c r="L487" s="143" t="s">
        <v>3639</v>
      </c>
      <c r="M487" s="143" t="s">
        <v>3640</v>
      </c>
      <c r="N487" s="110" t="s">
        <v>3641</v>
      </c>
      <c r="O487" s="104" t="s">
        <v>3471</v>
      </c>
      <c r="P487" s="104">
        <v>19947</v>
      </c>
      <c r="R487" s="104" t="s">
        <v>37</v>
      </c>
      <c r="S487" s="104" t="s">
        <v>260</v>
      </c>
      <c r="T487" s="104" t="s">
        <v>56</v>
      </c>
      <c r="U487" s="107">
        <v>1932</v>
      </c>
      <c r="V487" s="107">
        <v>1968</v>
      </c>
      <c r="W487" s="107" t="s">
        <v>66</v>
      </c>
      <c r="X487" s="107">
        <v>1968</v>
      </c>
      <c r="Y487" s="111"/>
      <c r="Z487" s="111"/>
    </row>
    <row r="488" spans="1:26" s="104" customFormat="1" ht="75" x14ac:dyDescent="0.25">
      <c r="A488" s="104" t="s">
        <v>3642</v>
      </c>
      <c r="B488" s="104" t="s">
        <v>3467</v>
      </c>
      <c r="C488" s="104" t="str">
        <f t="shared" si="16"/>
        <v>SC-047  - Georgetown Hundred</v>
      </c>
      <c r="D488" s="106" t="s">
        <v>98</v>
      </c>
      <c r="E488" s="106" t="s">
        <v>71</v>
      </c>
      <c r="F488" s="107" t="s">
        <v>48</v>
      </c>
      <c r="G488" s="107" t="s">
        <v>48</v>
      </c>
      <c r="H488" s="106"/>
      <c r="I488" s="108" t="s">
        <v>1124</v>
      </c>
      <c r="J488" s="105">
        <v>19</v>
      </c>
      <c r="K488" s="105">
        <v>35</v>
      </c>
      <c r="L488" s="143" t="s">
        <v>3643</v>
      </c>
      <c r="M488" s="143" t="s">
        <v>3644</v>
      </c>
      <c r="N488" s="110" t="s">
        <v>3645</v>
      </c>
      <c r="O488" s="104" t="s">
        <v>3471</v>
      </c>
      <c r="P488" s="104">
        <v>19947</v>
      </c>
      <c r="R488" s="104" t="s">
        <v>37</v>
      </c>
      <c r="S488" s="104" t="s">
        <v>3646</v>
      </c>
      <c r="T488" s="104" t="s">
        <v>56</v>
      </c>
      <c r="U488" s="107">
        <v>1932</v>
      </c>
      <c r="V488" s="107">
        <v>1932</v>
      </c>
      <c r="W488" s="107" t="s">
        <v>66</v>
      </c>
      <c r="X488" s="107"/>
      <c r="Y488" s="111"/>
      <c r="Z488" s="111"/>
    </row>
    <row r="489" spans="1:26" s="104" customFormat="1" ht="45" x14ac:dyDescent="0.25">
      <c r="A489" s="104" t="s">
        <v>3647</v>
      </c>
      <c r="B489" s="104" t="s">
        <v>3619</v>
      </c>
      <c r="C489" s="104" t="str">
        <f t="shared" si="16"/>
        <v>SC-048  - Nanticoke Hundred</v>
      </c>
      <c r="D489" s="106" t="s">
        <v>98</v>
      </c>
      <c r="E489" s="106" t="s">
        <v>71</v>
      </c>
      <c r="F489" s="107" t="s">
        <v>48</v>
      </c>
      <c r="G489" s="107" t="s">
        <v>48</v>
      </c>
      <c r="H489" s="106"/>
      <c r="I489" s="108" t="s">
        <v>1124</v>
      </c>
      <c r="J489" s="105">
        <v>19</v>
      </c>
      <c r="K489" s="105">
        <v>37</v>
      </c>
      <c r="L489" s="143" t="s">
        <v>3648</v>
      </c>
      <c r="M489" s="143" t="s">
        <v>3649</v>
      </c>
      <c r="N489" s="110" t="s">
        <v>3650</v>
      </c>
      <c r="O489" s="104" t="s">
        <v>3471</v>
      </c>
      <c r="P489" s="104">
        <v>19947</v>
      </c>
      <c r="R489" s="104" t="s">
        <v>37</v>
      </c>
      <c r="S489" s="104" t="s">
        <v>3651</v>
      </c>
      <c r="T489" s="104" t="s">
        <v>56</v>
      </c>
      <c r="U489" s="107">
        <v>1932</v>
      </c>
      <c r="V489" s="107">
        <v>1969</v>
      </c>
      <c r="W489" s="107" t="s">
        <v>66</v>
      </c>
      <c r="X489" s="107">
        <v>1969</v>
      </c>
      <c r="Y489" s="111"/>
      <c r="Z489" s="111"/>
    </row>
    <row r="490" spans="1:26" s="104" customFormat="1" ht="45" x14ac:dyDescent="0.25">
      <c r="A490" s="104" t="s">
        <v>3652</v>
      </c>
      <c r="B490" s="104" t="s">
        <v>3619</v>
      </c>
      <c r="C490" s="104" t="str">
        <f t="shared" si="16"/>
        <v>SC-049  - Nanticoke Hundred</v>
      </c>
      <c r="D490" s="106" t="s">
        <v>98</v>
      </c>
      <c r="E490" s="106" t="s">
        <v>71</v>
      </c>
      <c r="F490" s="107" t="s">
        <v>48</v>
      </c>
      <c r="G490" s="107" t="s">
        <v>48</v>
      </c>
      <c r="H490" s="106"/>
      <c r="I490" s="108" t="s">
        <v>1124</v>
      </c>
      <c r="J490" s="105">
        <v>18</v>
      </c>
      <c r="K490" s="105">
        <v>35</v>
      </c>
      <c r="L490" s="143" t="s">
        <v>3653</v>
      </c>
      <c r="M490" s="143" t="s">
        <v>3654</v>
      </c>
      <c r="N490" s="110" t="s">
        <v>3655</v>
      </c>
      <c r="O490" s="104" t="s">
        <v>3400</v>
      </c>
      <c r="P490" s="104">
        <v>19933</v>
      </c>
      <c r="R490" s="104" t="s">
        <v>37</v>
      </c>
      <c r="S490" s="104" t="s">
        <v>3656</v>
      </c>
      <c r="T490" s="104" t="s">
        <v>56</v>
      </c>
      <c r="U490" s="107">
        <v>1932</v>
      </c>
      <c r="V490" s="107">
        <v>1932</v>
      </c>
      <c r="W490" s="107" t="s">
        <v>66</v>
      </c>
      <c r="X490" s="107"/>
      <c r="Y490" s="111"/>
      <c r="Z490" s="111"/>
    </row>
    <row r="491" spans="1:26" s="104" customFormat="1" ht="45" x14ac:dyDescent="0.25">
      <c r="A491" s="82" t="s">
        <v>3657</v>
      </c>
      <c r="B491" s="82" t="s">
        <v>3402</v>
      </c>
      <c r="C491" s="82" t="str">
        <f t="shared" si="16"/>
        <v>SC-050  - Seaford Hundred</v>
      </c>
      <c r="D491" s="96" t="s">
        <v>3658</v>
      </c>
      <c r="E491" s="96" t="s">
        <v>346</v>
      </c>
      <c r="F491" s="97" t="s">
        <v>48</v>
      </c>
      <c r="G491" s="97" t="s">
        <v>48</v>
      </c>
      <c r="H491" s="96"/>
      <c r="I491" s="99" t="s">
        <v>301</v>
      </c>
      <c r="J491" s="95">
        <v>18</v>
      </c>
      <c r="K491" s="95">
        <v>35</v>
      </c>
      <c r="L491" s="113" t="s">
        <v>3659</v>
      </c>
      <c r="M491" s="112">
        <v>-75.556150000000002</v>
      </c>
      <c r="N491" s="101" t="s">
        <v>3660</v>
      </c>
      <c r="O491" s="82" t="s">
        <v>3400</v>
      </c>
      <c r="P491" s="82">
        <v>19933</v>
      </c>
      <c r="Q491" s="82"/>
      <c r="R491" s="82" t="s">
        <v>37</v>
      </c>
      <c r="S491" s="82"/>
      <c r="T491" s="82" t="s">
        <v>56</v>
      </c>
      <c r="U491" s="97">
        <v>1932</v>
      </c>
      <c r="V491" s="97">
        <v>1968</v>
      </c>
      <c r="W491" s="97" t="s">
        <v>66</v>
      </c>
      <c r="X491" s="97">
        <v>1968</v>
      </c>
      <c r="Y491" s="102" t="s">
        <v>3661</v>
      </c>
      <c r="Z491" s="102" t="s">
        <v>3662</v>
      </c>
    </row>
    <row r="492" spans="1:26" s="104" customFormat="1" ht="30" x14ac:dyDescent="0.25">
      <c r="A492" s="104" t="s">
        <v>3663</v>
      </c>
      <c r="B492" s="104" t="s">
        <v>3391</v>
      </c>
      <c r="C492" s="104" t="str">
        <f t="shared" si="16"/>
        <v>SC-051  - Northwest Fork Hundred</v>
      </c>
      <c r="D492" s="106" t="s">
        <v>98</v>
      </c>
      <c r="E492" s="106" t="s">
        <v>71</v>
      </c>
      <c r="F492" s="107" t="s">
        <v>48</v>
      </c>
      <c r="G492" s="107" t="s">
        <v>48</v>
      </c>
      <c r="H492" s="106"/>
      <c r="I492" s="108" t="s">
        <v>301</v>
      </c>
      <c r="J492" s="105">
        <v>18</v>
      </c>
      <c r="K492" s="105">
        <v>35</v>
      </c>
      <c r="L492" s="143" t="s">
        <v>3664</v>
      </c>
      <c r="M492" s="143" t="s">
        <v>3665</v>
      </c>
      <c r="N492" s="110" t="s">
        <v>3666</v>
      </c>
      <c r="O492" s="104" t="s">
        <v>3400</v>
      </c>
      <c r="P492" s="104">
        <v>19933</v>
      </c>
      <c r="R492" s="104" t="s">
        <v>37</v>
      </c>
      <c r="T492" s="104" t="s">
        <v>56</v>
      </c>
      <c r="U492" s="107">
        <v>1932</v>
      </c>
      <c r="V492" s="107">
        <v>1932</v>
      </c>
      <c r="W492" s="107" t="s">
        <v>66</v>
      </c>
      <c r="X492" s="107"/>
      <c r="Y492" s="111"/>
      <c r="Z492" s="111"/>
    </row>
    <row r="493" spans="1:26" s="104" customFormat="1" ht="30" x14ac:dyDescent="0.25">
      <c r="A493" s="104" t="s">
        <v>3667</v>
      </c>
      <c r="B493" s="104" t="s">
        <v>3487</v>
      </c>
      <c r="C493" s="104" t="str">
        <f t="shared" si="16"/>
        <v>SC-052  - Dagsboro Hundred</v>
      </c>
      <c r="D493" s="106" t="s">
        <v>98</v>
      </c>
      <c r="E493" s="106" t="s">
        <v>71</v>
      </c>
      <c r="F493" s="107" t="s">
        <v>48</v>
      </c>
      <c r="G493" s="107" t="s">
        <v>48</v>
      </c>
      <c r="H493" s="106"/>
      <c r="I493" s="108" t="s">
        <v>301</v>
      </c>
      <c r="J493" s="105">
        <v>20</v>
      </c>
      <c r="K493" s="105">
        <v>4</v>
      </c>
      <c r="L493" s="143" t="s">
        <v>3668</v>
      </c>
      <c r="M493" s="143" t="s">
        <v>3669</v>
      </c>
      <c r="N493" s="110" t="s">
        <v>3670</v>
      </c>
      <c r="O493" s="104" t="s">
        <v>3671</v>
      </c>
      <c r="P493" s="104">
        <v>19966</v>
      </c>
      <c r="R493" s="104" t="s">
        <v>37</v>
      </c>
      <c r="T493" s="104" t="s">
        <v>56</v>
      </c>
      <c r="U493" s="107">
        <v>1932</v>
      </c>
      <c r="V493" s="107">
        <v>1932</v>
      </c>
      <c r="W493" s="107" t="s">
        <v>66</v>
      </c>
      <c r="X493" s="107"/>
      <c r="Y493" s="111"/>
      <c r="Z493" s="111"/>
    </row>
    <row r="494" spans="1:26" s="104" customFormat="1" ht="45" x14ac:dyDescent="0.25">
      <c r="A494" s="82" t="s">
        <v>3672</v>
      </c>
      <c r="B494" s="82" t="s">
        <v>3673</v>
      </c>
      <c r="C494" s="82" t="str">
        <f t="shared" si="16"/>
        <v>SC-053  - Indian River Hundred</v>
      </c>
      <c r="D494" s="96" t="s">
        <v>3674</v>
      </c>
      <c r="E494" s="96" t="s">
        <v>29</v>
      </c>
      <c r="F494" s="97" t="s">
        <v>48</v>
      </c>
      <c r="G494" s="97" t="s">
        <v>48</v>
      </c>
      <c r="H494" s="96" t="s">
        <v>541</v>
      </c>
      <c r="I494" s="99" t="s">
        <v>301</v>
      </c>
      <c r="J494" s="95">
        <v>20</v>
      </c>
      <c r="K494" s="95">
        <v>4</v>
      </c>
      <c r="L494" s="100" t="s">
        <v>3675</v>
      </c>
      <c r="M494" s="100" t="s">
        <v>3669</v>
      </c>
      <c r="N494" s="101" t="s">
        <v>3676</v>
      </c>
      <c r="O494" s="82" t="s">
        <v>3671</v>
      </c>
      <c r="P494" s="82">
        <v>19966</v>
      </c>
      <c r="Q494" s="82"/>
      <c r="R494" s="82" t="s">
        <v>37</v>
      </c>
      <c r="S494" s="82"/>
      <c r="T494" s="82" t="s">
        <v>56</v>
      </c>
      <c r="U494" s="97">
        <v>1932</v>
      </c>
      <c r="V494" s="97">
        <v>1932</v>
      </c>
      <c r="W494" s="97" t="s">
        <v>66</v>
      </c>
      <c r="X494" s="97"/>
      <c r="Y494" s="102" t="s">
        <v>3677</v>
      </c>
      <c r="Z494" s="102" t="s">
        <v>3678</v>
      </c>
    </row>
    <row r="495" spans="1:26" s="104" customFormat="1" ht="30" x14ac:dyDescent="0.25">
      <c r="A495" s="104" t="s">
        <v>3679</v>
      </c>
      <c r="B495" s="104" t="s">
        <v>3673</v>
      </c>
      <c r="C495" s="104" t="str">
        <f t="shared" si="16"/>
        <v>SC-054  - Indian River Hundred</v>
      </c>
      <c r="D495" s="106" t="s">
        <v>98</v>
      </c>
      <c r="E495" s="106" t="s">
        <v>71</v>
      </c>
      <c r="F495" s="107" t="s">
        <v>48</v>
      </c>
      <c r="G495" s="107" t="s">
        <v>48</v>
      </c>
      <c r="H495" s="106"/>
      <c r="I495" s="108" t="s">
        <v>301</v>
      </c>
      <c r="J495" s="105">
        <v>6</v>
      </c>
      <c r="K495" s="105">
        <v>4</v>
      </c>
      <c r="L495" s="143" t="s">
        <v>3680</v>
      </c>
      <c r="M495" s="143" t="s">
        <v>3681</v>
      </c>
      <c r="N495" s="110" t="s">
        <v>3682</v>
      </c>
      <c r="O495" s="104" t="s">
        <v>3548</v>
      </c>
      <c r="P495" s="104">
        <v>19958</v>
      </c>
      <c r="R495" s="104" t="s">
        <v>37</v>
      </c>
      <c r="T495" s="104" t="s">
        <v>56</v>
      </c>
      <c r="U495" s="107">
        <v>1932</v>
      </c>
      <c r="V495" s="107">
        <v>1932</v>
      </c>
      <c r="W495" s="107" t="s">
        <v>66</v>
      </c>
      <c r="X495" s="107"/>
      <c r="Y495" s="111"/>
      <c r="Z495" s="111"/>
    </row>
    <row r="496" spans="1:26" s="104" customFormat="1" ht="30" x14ac:dyDescent="0.25">
      <c r="A496" s="104" t="s">
        <v>3683</v>
      </c>
      <c r="B496" s="104" t="s">
        <v>3553</v>
      </c>
      <c r="C496" s="104" t="str">
        <f t="shared" si="16"/>
        <v>SC-055  - Lewes &amp; Rehoboth Hundred</v>
      </c>
      <c r="D496" s="106" t="s">
        <v>98</v>
      </c>
      <c r="E496" s="106" t="s">
        <v>71</v>
      </c>
      <c r="F496" s="107" t="s">
        <v>48</v>
      </c>
      <c r="G496" s="107" t="s">
        <v>48</v>
      </c>
      <c r="H496" s="106"/>
      <c r="I496" s="108" t="s">
        <v>301</v>
      </c>
      <c r="J496" s="105">
        <v>6</v>
      </c>
      <c r="K496" s="105">
        <v>14</v>
      </c>
      <c r="L496" s="143" t="s">
        <v>3684</v>
      </c>
      <c r="M496" s="143" t="s">
        <v>3685</v>
      </c>
      <c r="N496" s="110" t="s">
        <v>3686</v>
      </c>
      <c r="O496" s="104" t="s">
        <v>3548</v>
      </c>
      <c r="P496" s="104">
        <v>19958</v>
      </c>
      <c r="R496" s="104" t="s">
        <v>37</v>
      </c>
      <c r="T496" s="104" t="s">
        <v>56</v>
      </c>
      <c r="U496" s="107">
        <v>1932</v>
      </c>
      <c r="V496" s="107">
        <v>1932</v>
      </c>
      <c r="W496" s="107" t="s">
        <v>66</v>
      </c>
      <c r="X496" s="107"/>
      <c r="Y496" s="111"/>
      <c r="Z496" s="111"/>
    </row>
    <row r="497" spans="1:26" s="104" customFormat="1" ht="30" x14ac:dyDescent="0.25">
      <c r="A497" s="104" t="s">
        <v>3687</v>
      </c>
      <c r="B497" s="104" t="s">
        <v>3487</v>
      </c>
      <c r="C497" s="104" t="str">
        <f t="shared" si="16"/>
        <v>SC-056  - Dagsboro Hundred</v>
      </c>
      <c r="D497" s="106" t="s">
        <v>98</v>
      </c>
      <c r="E497" s="106" t="s">
        <v>71</v>
      </c>
      <c r="F497" s="107" t="s">
        <v>48</v>
      </c>
      <c r="G497" s="107" t="s">
        <v>48</v>
      </c>
      <c r="H497" s="106"/>
      <c r="I497" s="108" t="s">
        <v>301</v>
      </c>
      <c r="J497" s="105">
        <v>21</v>
      </c>
      <c r="K497" s="105">
        <v>41</v>
      </c>
      <c r="L497" s="143" t="s">
        <v>3688</v>
      </c>
      <c r="M497" s="143" t="s">
        <v>3689</v>
      </c>
      <c r="N497" s="110" t="s">
        <v>3690</v>
      </c>
      <c r="O497" s="104" t="s">
        <v>3500</v>
      </c>
      <c r="P497" s="104">
        <v>19945</v>
      </c>
      <c r="R497" s="104" t="s">
        <v>37</v>
      </c>
      <c r="T497" s="104" t="s">
        <v>56</v>
      </c>
      <c r="U497" s="107">
        <v>1932</v>
      </c>
      <c r="V497" s="107">
        <v>1932</v>
      </c>
      <c r="W497" s="107" t="s">
        <v>66</v>
      </c>
      <c r="X497" s="107"/>
      <c r="Y497" s="111"/>
      <c r="Z497" s="111"/>
    </row>
    <row r="498" spans="1:26" s="104" customFormat="1" ht="51" x14ac:dyDescent="0.25">
      <c r="A498" s="82" t="s">
        <v>3691</v>
      </c>
      <c r="B498" s="82" t="s">
        <v>3692</v>
      </c>
      <c r="C498" s="82" t="str">
        <f t="shared" ref="C498:C529" si="17">A498 &amp; " - " &amp; B498</f>
        <v>SC-057  - Gumboro Hundred</v>
      </c>
      <c r="D498" s="96" t="s">
        <v>3693</v>
      </c>
      <c r="E498" s="96" t="s">
        <v>130</v>
      </c>
      <c r="F498" s="97" t="s">
        <v>48</v>
      </c>
      <c r="G498" s="97" t="s">
        <v>48</v>
      </c>
      <c r="H498" s="96" t="s">
        <v>3694</v>
      </c>
      <c r="I498" s="99" t="s">
        <v>301</v>
      </c>
      <c r="J498" s="95">
        <v>21</v>
      </c>
      <c r="K498" s="95">
        <v>41</v>
      </c>
      <c r="L498" s="100" t="s">
        <v>3695</v>
      </c>
      <c r="M498" s="100" t="s">
        <v>3696</v>
      </c>
      <c r="N498" s="101" t="s">
        <v>3697</v>
      </c>
      <c r="O498" s="82" t="s">
        <v>3500</v>
      </c>
      <c r="P498" s="82">
        <v>19945</v>
      </c>
      <c r="Q498" s="82"/>
      <c r="R498" s="82" t="s">
        <v>3698</v>
      </c>
      <c r="S498" s="82" t="s">
        <v>3699</v>
      </c>
      <c r="T498" s="82" t="s">
        <v>56</v>
      </c>
      <c r="U498" s="97">
        <v>1932</v>
      </c>
      <c r="V498" s="97">
        <v>1932</v>
      </c>
      <c r="W498" s="97" t="s">
        <v>66</v>
      </c>
      <c r="X498" s="97">
        <v>1968</v>
      </c>
      <c r="Y498" s="114" t="s">
        <v>3700</v>
      </c>
      <c r="Z498" s="114" t="s">
        <v>3701</v>
      </c>
    </row>
    <row r="499" spans="1:26" s="145" customFormat="1" ht="30" x14ac:dyDescent="0.25">
      <c r="A499" s="104" t="s">
        <v>3702</v>
      </c>
      <c r="B499" s="104" t="s">
        <v>3692</v>
      </c>
      <c r="C499" s="104" t="str">
        <f t="shared" si="17"/>
        <v>SC-058  - Gumboro Hundred</v>
      </c>
      <c r="D499" s="106" t="s">
        <v>98</v>
      </c>
      <c r="E499" s="106" t="s">
        <v>71</v>
      </c>
      <c r="F499" s="107" t="s">
        <v>48</v>
      </c>
      <c r="G499" s="107" t="s">
        <v>48</v>
      </c>
      <c r="H499" s="106"/>
      <c r="I499" s="108" t="s">
        <v>301</v>
      </c>
      <c r="J499" s="105">
        <v>21</v>
      </c>
      <c r="K499" s="105">
        <v>41</v>
      </c>
      <c r="L499" s="143" t="s">
        <v>3703</v>
      </c>
      <c r="M499" s="143" t="s">
        <v>3704</v>
      </c>
      <c r="N499" s="110" t="s">
        <v>3705</v>
      </c>
      <c r="O499" s="104" t="s">
        <v>3671</v>
      </c>
      <c r="P499" s="104">
        <v>19966</v>
      </c>
      <c r="Q499" s="104"/>
      <c r="R499" s="104" t="s">
        <v>37</v>
      </c>
      <c r="S499" s="104" t="s">
        <v>3706</v>
      </c>
      <c r="T499" s="104" t="s">
        <v>56</v>
      </c>
      <c r="U499" s="107">
        <v>1932</v>
      </c>
      <c r="V499" s="107">
        <v>1932</v>
      </c>
      <c r="W499" s="107" t="s">
        <v>66</v>
      </c>
      <c r="X499" s="107"/>
      <c r="Y499" s="111"/>
      <c r="Z499" s="111"/>
    </row>
    <row r="500" spans="1:26" s="82" customFormat="1" ht="60" x14ac:dyDescent="0.25">
      <c r="A500" s="82" t="s">
        <v>3707</v>
      </c>
      <c r="B500" s="82" t="s">
        <v>3492</v>
      </c>
      <c r="C500" s="82" t="str">
        <f t="shared" si="17"/>
        <v>SC-059  - Dagsboro</v>
      </c>
      <c r="D500" s="96" t="s">
        <v>3503</v>
      </c>
      <c r="E500" s="96" t="s">
        <v>29</v>
      </c>
      <c r="F500" s="97" t="s">
        <v>205</v>
      </c>
      <c r="G500" s="97"/>
      <c r="H500" s="96" t="s">
        <v>3708</v>
      </c>
      <c r="I500" s="99" t="s">
        <v>301</v>
      </c>
      <c r="J500" s="95">
        <v>20</v>
      </c>
      <c r="K500" s="95">
        <v>41</v>
      </c>
      <c r="L500" s="100" t="s">
        <v>3709</v>
      </c>
      <c r="M500" s="100" t="s">
        <v>3710</v>
      </c>
      <c r="N500" s="101" t="s">
        <v>3711</v>
      </c>
      <c r="O500" s="82" t="s">
        <v>3492</v>
      </c>
      <c r="P500" s="82">
        <v>19939</v>
      </c>
      <c r="R500" s="82" t="s">
        <v>37</v>
      </c>
      <c r="S500" s="82" t="s">
        <v>3712</v>
      </c>
      <c r="T500" s="82" t="s">
        <v>56</v>
      </c>
      <c r="U500" s="97">
        <v>1932</v>
      </c>
      <c r="V500" s="97">
        <v>1932</v>
      </c>
      <c r="W500" s="97" t="s">
        <v>39</v>
      </c>
      <c r="X500" s="97" t="s">
        <v>3713</v>
      </c>
      <c r="Y500" s="114" t="s">
        <v>3714</v>
      </c>
      <c r="Z500" s="131" t="s">
        <v>3715</v>
      </c>
    </row>
    <row r="501" spans="1:26" s="104" customFormat="1" ht="28.5" x14ac:dyDescent="0.25">
      <c r="A501" s="104" t="s">
        <v>3716</v>
      </c>
      <c r="B501" s="104" t="s">
        <v>3492</v>
      </c>
      <c r="C501" s="104" t="str">
        <f t="shared" si="17"/>
        <v>SC-060  - Dagsboro</v>
      </c>
      <c r="D501" s="106" t="s">
        <v>71</v>
      </c>
      <c r="E501" s="106" t="s">
        <v>98</v>
      </c>
      <c r="F501" s="107" t="s">
        <v>205</v>
      </c>
      <c r="G501" s="107"/>
      <c r="H501" s="106"/>
      <c r="I501" s="108" t="s">
        <v>301</v>
      </c>
      <c r="J501" s="105">
        <v>20</v>
      </c>
      <c r="K501" s="105">
        <v>41</v>
      </c>
      <c r="L501" s="143" t="s">
        <v>3717</v>
      </c>
      <c r="M501" s="143" t="s">
        <v>3718</v>
      </c>
      <c r="N501" s="110" t="s">
        <v>3719</v>
      </c>
      <c r="O501" s="104" t="s">
        <v>3492</v>
      </c>
      <c r="P501" s="104">
        <v>19939</v>
      </c>
      <c r="R501" s="104" t="s">
        <v>37</v>
      </c>
      <c r="T501" s="104" t="s">
        <v>56</v>
      </c>
      <c r="U501" s="107">
        <v>1932</v>
      </c>
      <c r="V501" s="107">
        <v>1932</v>
      </c>
      <c r="W501" s="107" t="s">
        <v>66</v>
      </c>
      <c r="X501" s="107"/>
      <c r="Y501" s="111"/>
      <c r="Z501" s="111"/>
    </row>
    <row r="502" spans="1:26" s="104" customFormat="1" ht="30" x14ac:dyDescent="0.25">
      <c r="A502" s="104" t="s">
        <v>3720</v>
      </c>
      <c r="B502" s="104" t="s">
        <v>3487</v>
      </c>
      <c r="C502" s="104" t="str">
        <f t="shared" si="17"/>
        <v>SC-061  - Dagsboro Hundred</v>
      </c>
      <c r="D502" s="106" t="s">
        <v>98</v>
      </c>
      <c r="E502" s="106" t="s">
        <v>98</v>
      </c>
      <c r="F502" s="107" t="s">
        <v>48</v>
      </c>
      <c r="G502" s="107" t="s">
        <v>48</v>
      </c>
      <c r="H502" s="106"/>
      <c r="I502" s="108" t="s">
        <v>301</v>
      </c>
      <c r="J502" s="105">
        <v>20</v>
      </c>
      <c r="K502" s="105">
        <v>41</v>
      </c>
      <c r="L502" s="143" t="s">
        <v>3721</v>
      </c>
      <c r="M502" s="143" t="s">
        <v>3722</v>
      </c>
      <c r="N502" s="110" t="s">
        <v>3723</v>
      </c>
      <c r="O502" s="104" t="s">
        <v>3492</v>
      </c>
      <c r="P502" s="104">
        <v>19939</v>
      </c>
      <c r="R502" s="104" t="s">
        <v>37</v>
      </c>
      <c r="T502" s="104" t="s">
        <v>56</v>
      </c>
      <c r="U502" s="107">
        <v>1932</v>
      </c>
      <c r="V502" s="107">
        <v>1932</v>
      </c>
      <c r="W502" s="107" t="s">
        <v>66</v>
      </c>
      <c r="X502" s="107"/>
      <c r="Y502" s="111"/>
      <c r="Z502" s="111"/>
    </row>
    <row r="503" spans="1:26" s="82" customFormat="1" ht="30" x14ac:dyDescent="0.25">
      <c r="A503" s="104" t="s">
        <v>3724</v>
      </c>
      <c r="B503" s="104" t="s">
        <v>3502</v>
      </c>
      <c r="C503" s="104" t="str">
        <f t="shared" si="17"/>
        <v>SC-062  - Baltimore Hundred</v>
      </c>
      <c r="D503" s="106" t="s">
        <v>98</v>
      </c>
      <c r="E503" s="106" t="s">
        <v>98</v>
      </c>
      <c r="F503" s="107" t="s">
        <v>48</v>
      </c>
      <c r="G503" s="107" t="s">
        <v>48</v>
      </c>
      <c r="H503" s="106"/>
      <c r="I503" s="108" t="s">
        <v>301</v>
      </c>
      <c r="J503" s="105">
        <v>20</v>
      </c>
      <c r="K503" s="105">
        <v>41</v>
      </c>
      <c r="L503" s="143" t="s">
        <v>3725</v>
      </c>
      <c r="M503" s="143" t="s">
        <v>3726</v>
      </c>
      <c r="N503" s="110"/>
      <c r="O503" s="104"/>
      <c r="P503" s="104"/>
      <c r="Q503" s="104"/>
      <c r="R503" s="104" t="s">
        <v>37</v>
      </c>
      <c r="S503" s="104"/>
      <c r="T503" s="104" t="s">
        <v>56</v>
      </c>
      <c r="U503" s="107">
        <v>1932</v>
      </c>
      <c r="V503" s="107">
        <v>1932</v>
      </c>
      <c r="W503" s="107" t="s">
        <v>66</v>
      </c>
      <c r="X503" s="107"/>
      <c r="Y503" s="111"/>
      <c r="Z503" s="111"/>
    </row>
    <row r="504" spans="1:26" s="104" customFormat="1" ht="45" x14ac:dyDescent="0.25">
      <c r="A504" s="82" t="s">
        <v>3727</v>
      </c>
      <c r="B504" s="82" t="s">
        <v>3728</v>
      </c>
      <c r="C504" s="82" t="str">
        <f t="shared" si="17"/>
        <v>SC-063  - Old Christ Church (Broadcreek)</v>
      </c>
      <c r="D504" s="96" t="s">
        <v>3729</v>
      </c>
      <c r="E504" s="96" t="s">
        <v>29</v>
      </c>
      <c r="F504" s="97" t="s">
        <v>191</v>
      </c>
      <c r="G504" s="97"/>
      <c r="H504" s="96" t="s">
        <v>3730</v>
      </c>
      <c r="I504" s="99" t="s">
        <v>301</v>
      </c>
      <c r="J504" s="95">
        <v>21</v>
      </c>
      <c r="K504" s="95">
        <v>40</v>
      </c>
      <c r="L504" s="100" t="s">
        <v>3731</v>
      </c>
      <c r="M504" s="100" t="s">
        <v>3732</v>
      </c>
      <c r="N504" s="101" t="s">
        <v>3733</v>
      </c>
      <c r="O504" s="82" t="s">
        <v>3428</v>
      </c>
      <c r="P504" s="82">
        <v>19956</v>
      </c>
      <c r="Q504" s="82"/>
      <c r="R504" s="82" t="s">
        <v>37</v>
      </c>
      <c r="S504" s="82"/>
      <c r="T504" s="82" t="s">
        <v>56</v>
      </c>
      <c r="U504" s="97">
        <v>1938</v>
      </c>
      <c r="V504" s="97">
        <v>1938</v>
      </c>
      <c r="W504" s="97" t="s">
        <v>66</v>
      </c>
      <c r="X504" s="97">
        <v>2012</v>
      </c>
      <c r="Y504" s="114" t="s">
        <v>3734</v>
      </c>
      <c r="Z504" s="114" t="s">
        <v>3735</v>
      </c>
    </row>
    <row r="505" spans="1:26" s="104" customFormat="1" ht="45" x14ac:dyDescent="0.25">
      <c r="A505" s="82" t="s">
        <v>3736</v>
      </c>
      <c r="B505" s="82" t="s">
        <v>3737</v>
      </c>
      <c r="C505" s="82" t="str">
        <f t="shared" si="17"/>
        <v>SC-064  - Bethel Church (Brown's Chapel, Seaford)</v>
      </c>
      <c r="D505" s="96" t="s">
        <v>3738</v>
      </c>
      <c r="E505" s="96" t="s">
        <v>29</v>
      </c>
      <c r="F505" s="97" t="s">
        <v>191</v>
      </c>
      <c r="G505" s="97"/>
      <c r="H505" s="96" t="s">
        <v>473</v>
      </c>
      <c r="I505" s="99" t="s">
        <v>301</v>
      </c>
      <c r="J505" s="95">
        <v>21</v>
      </c>
      <c r="K505" s="95">
        <v>39</v>
      </c>
      <c r="L505" s="112">
        <v>38.684289999999997</v>
      </c>
      <c r="M505" s="112">
        <v>-75.711039999999997</v>
      </c>
      <c r="N505" s="101" t="s">
        <v>3739</v>
      </c>
      <c r="O505" s="101" t="s">
        <v>3407</v>
      </c>
      <c r="P505" s="82">
        <v>19973</v>
      </c>
      <c r="Q505" s="82"/>
      <c r="R505" s="82" t="s">
        <v>37</v>
      </c>
      <c r="S505" s="82"/>
      <c r="T505" s="82" t="s">
        <v>56</v>
      </c>
      <c r="U505" s="97">
        <v>1940</v>
      </c>
      <c r="V505" s="97">
        <v>1940</v>
      </c>
      <c r="W505" s="97" t="s">
        <v>66</v>
      </c>
      <c r="X505" s="97"/>
      <c r="Y505" s="102" t="s">
        <v>3740</v>
      </c>
      <c r="Z505" s="102" t="s">
        <v>3741</v>
      </c>
    </row>
    <row r="506" spans="1:26" s="145" customFormat="1" ht="30" x14ac:dyDescent="0.25">
      <c r="A506" s="149" t="s">
        <v>3742</v>
      </c>
      <c r="B506" s="149" t="s">
        <v>3743</v>
      </c>
      <c r="C506" s="149" t="str">
        <f t="shared" si="17"/>
        <v>SC-065  - Cannon's Ferry</v>
      </c>
      <c r="D506" s="151" t="s">
        <v>3744</v>
      </c>
      <c r="E506" s="151" t="s">
        <v>66</v>
      </c>
      <c r="F506" s="152" t="s">
        <v>30</v>
      </c>
      <c r="G506" s="152"/>
      <c r="H506" s="151"/>
      <c r="I506" s="153" t="s">
        <v>301</v>
      </c>
      <c r="J506" s="150">
        <v>21</v>
      </c>
      <c r="K506" s="150">
        <v>39</v>
      </c>
      <c r="L506" s="154"/>
      <c r="M506" s="154"/>
      <c r="N506" s="156" t="s">
        <v>3745</v>
      </c>
      <c r="O506" s="149" t="s">
        <v>3407</v>
      </c>
      <c r="P506" s="149">
        <v>19973</v>
      </c>
      <c r="Q506" s="149"/>
      <c r="R506" s="149" t="s">
        <v>37</v>
      </c>
      <c r="S506" s="149" t="s">
        <v>3746</v>
      </c>
      <c r="T506" s="149" t="s">
        <v>38</v>
      </c>
      <c r="U506" s="152">
        <v>1966</v>
      </c>
      <c r="V506" s="152">
        <v>1966</v>
      </c>
      <c r="W506" s="152" t="s">
        <v>66</v>
      </c>
      <c r="X506" s="152"/>
      <c r="Y506" s="155"/>
      <c r="Z506" s="155"/>
    </row>
    <row r="507" spans="1:26" s="82" customFormat="1" ht="45" x14ac:dyDescent="0.25">
      <c r="A507" s="82" t="s">
        <v>3747</v>
      </c>
      <c r="B507" s="82" t="s">
        <v>3748</v>
      </c>
      <c r="C507" s="82" t="str">
        <f t="shared" si="17"/>
        <v>SC-066  - Pilot Town</v>
      </c>
      <c r="D507" s="96" t="s">
        <v>3749</v>
      </c>
      <c r="E507" s="96" t="s">
        <v>29</v>
      </c>
      <c r="F507" s="97" t="s">
        <v>30</v>
      </c>
      <c r="G507" s="97" t="s">
        <v>293</v>
      </c>
      <c r="H507" s="96" t="s">
        <v>642</v>
      </c>
      <c r="I507" s="99" t="s">
        <v>301</v>
      </c>
      <c r="J507" s="95">
        <v>21</v>
      </c>
      <c r="K507" s="95">
        <v>39</v>
      </c>
      <c r="L507" s="113" t="s">
        <v>3750</v>
      </c>
      <c r="M507" s="112">
        <v>-75.561369999999997</v>
      </c>
      <c r="N507" s="101" t="s">
        <v>3751</v>
      </c>
      <c r="O507" s="82" t="s">
        <v>3407</v>
      </c>
      <c r="P507" s="82">
        <v>19973</v>
      </c>
      <c r="R507" s="82" t="s">
        <v>37</v>
      </c>
      <c r="S507" s="82" t="s">
        <v>3752</v>
      </c>
      <c r="T507" s="82" t="s">
        <v>38</v>
      </c>
      <c r="U507" s="97">
        <v>1971</v>
      </c>
      <c r="V507" s="97">
        <v>1971</v>
      </c>
      <c r="W507" s="97" t="s">
        <v>66</v>
      </c>
      <c r="X507" s="97" t="s">
        <v>3753</v>
      </c>
      <c r="Y507" s="102" t="s">
        <v>3754</v>
      </c>
      <c r="Z507" s="102" t="s">
        <v>3755</v>
      </c>
    </row>
    <row r="508" spans="1:26" s="104" customFormat="1" ht="45" x14ac:dyDescent="0.25">
      <c r="A508" s="82" t="s">
        <v>3756</v>
      </c>
      <c r="B508" s="82" t="s">
        <v>3757</v>
      </c>
      <c r="C508" s="82" t="str">
        <f t="shared" si="17"/>
        <v>SC-067  - Governor John Collins</v>
      </c>
      <c r="D508" s="96" t="s">
        <v>3758</v>
      </c>
      <c r="E508" s="96" t="s">
        <v>29</v>
      </c>
      <c r="F508" s="97" t="s">
        <v>1123</v>
      </c>
      <c r="G508" s="97"/>
      <c r="H508" s="96"/>
      <c r="I508" s="99" t="s">
        <v>301</v>
      </c>
      <c r="J508" s="95">
        <v>18</v>
      </c>
      <c r="K508" s="95">
        <v>35</v>
      </c>
      <c r="L508" s="100" t="s">
        <v>3759</v>
      </c>
      <c r="M508" s="100" t="s">
        <v>3760</v>
      </c>
      <c r="N508" s="101" t="s">
        <v>3761</v>
      </c>
      <c r="O508" s="82" t="s">
        <v>3471</v>
      </c>
      <c r="P508" s="82">
        <v>19947</v>
      </c>
      <c r="Q508" s="82"/>
      <c r="R508" s="82" t="s">
        <v>37</v>
      </c>
      <c r="S508" s="82" t="s">
        <v>3762</v>
      </c>
      <c r="T508" s="82" t="s">
        <v>38</v>
      </c>
      <c r="U508" s="97">
        <v>1974</v>
      </c>
      <c r="V508" s="97" t="s">
        <v>66</v>
      </c>
      <c r="W508" s="97" t="s">
        <v>39</v>
      </c>
      <c r="X508" s="97">
        <v>2017</v>
      </c>
      <c r="Y508" s="165" t="s">
        <v>3763</v>
      </c>
      <c r="Z508" s="102" t="s">
        <v>3764</v>
      </c>
    </row>
    <row r="509" spans="1:26" s="82" customFormat="1" ht="45" x14ac:dyDescent="0.25">
      <c r="A509" s="82" t="s">
        <v>3765</v>
      </c>
      <c r="B509" s="82" t="s">
        <v>3766</v>
      </c>
      <c r="C509" s="82" t="str">
        <f t="shared" si="17"/>
        <v>SC-068  - Nathaniel Mitchell (1752-1813)</v>
      </c>
      <c r="D509" s="96" t="s">
        <v>3767</v>
      </c>
      <c r="E509" s="96" t="s">
        <v>29</v>
      </c>
      <c r="F509" s="97" t="s">
        <v>62</v>
      </c>
      <c r="G509" s="97"/>
      <c r="H509" s="96"/>
      <c r="I509" s="99" t="s">
        <v>301</v>
      </c>
      <c r="J509" s="95">
        <v>21</v>
      </c>
      <c r="K509" s="95">
        <v>40</v>
      </c>
      <c r="L509" s="100" t="s">
        <v>3768</v>
      </c>
      <c r="M509" s="100" t="s">
        <v>3769</v>
      </c>
      <c r="N509" s="101" t="s">
        <v>3733</v>
      </c>
      <c r="O509" s="82" t="s">
        <v>3428</v>
      </c>
      <c r="P509" s="82">
        <v>19956</v>
      </c>
      <c r="R509" s="82" t="s">
        <v>37</v>
      </c>
      <c r="T509" s="82" t="s">
        <v>38</v>
      </c>
      <c r="U509" s="97">
        <v>1990</v>
      </c>
      <c r="V509" s="97" t="s">
        <v>66</v>
      </c>
      <c r="W509" s="97" t="s">
        <v>66</v>
      </c>
      <c r="X509" s="97">
        <v>2013</v>
      </c>
      <c r="Y509" s="102" t="s">
        <v>3770</v>
      </c>
      <c r="Z509" s="102" t="s">
        <v>3771</v>
      </c>
    </row>
    <row r="510" spans="1:26" s="104" customFormat="1" ht="30" x14ac:dyDescent="0.25">
      <c r="A510" s="82" t="s">
        <v>3772</v>
      </c>
      <c r="B510" s="82" t="s">
        <v>3773</v>
      </c>
      <c r="C510" s="82" t="str">
        <f t="shared" si="17"/>
        <v>SC-069  - Highball Signal</v>
      </c>
      <c r="D510" s="115" t="s">
        <v>3774</v>
      </c>
      <c r="E510" s="96" t="s">
        <v>29</v>
      </c>
      <c r="F510" s="97" t="s">
        <v>30</v>
      </c>
      <c r="G510" s="97"/>
      <c r="H510" s="96" t="s">
        <v>77</v>
      </c>
      <c r="I510" s="99" t="s">
        <v>301</v>
      </c>
      <c r="J510" s="95">
        <v>21</v>
      </c>
      <c r="K510" s="95">
        <v>40</v>
      </c>
      <c r="L510" s="100">
        <v>38.456490000000002</v>
      </c>
      <c r="M510" s="100">
        <v>-75.577950000000001</v>
      </c>
      <c r="N510" s="101" t="s">
        <v>3775</v>
      </c>
      <c r="O510" s="82" t="s">
        <v>3448</v>
      </c>
      <c r="P510" s="82">
        <v>19940</v>
      </c>
      <c r="Q510" s="82"/>
      <c r="R510" s="82" t="s">
        <v>37</v>
      </c>
      <c r="S510" s="82" t="s">
        <v>3776</v>
      </c>
      <c r="T510" s="82" t="s">
        <v>3325</v>
      </c>
      <c r="U510" s="97">
        <v>1974</v>
      </c>
      <c r="V510" s="97" t="s">
        <v>66</v>
      </c>
      <c r="W510" s="97" t="s">
        <v>66</v>
      </c>
      <c r="X510" s="97">
        <v>2010</v>
      </c>
      <c r="Y510" s="131" t="s">
        <v>3777</v>
      </c>
      <c r="Z510" s="131" t="s">
        <v>3778</v>
      </c>
    </row>
    <row r="511" spans="1:26" s="104" customFormat="1" ht="45" x14ac:dyDescent="0.25">
      <c r="A511" s="101" t="s">
        <v>3779</v>
      </c>
      <c r="B511" s="101" t="s">
        <v>3780</v>
      </c>
      <c r="C511" s="101" t="str">
        <f t="shared" si="17"/>
        <v>SC-070  - Cannon-Maston House</v>
      </c>
      <c r="D511" s="96" t="s">
        <v>3781</v>
      </c>
      <c r="E511" s="96" t="s">
        <v>29</v>
      </c>
      <c r="F511" s="97" t="s">
        <v>30</v>
      </c>
      <c r="G511" s="97"/>
      <c r="H511" s="96" t="s">
        <v>867</v>
      </c>
      <c r="I511" s="99" t="s">
        <v>301</v>
      </c>
      <c r="J511" s="95">
        <v>21</v>
      </c>
      <c r="K511" s="95">
        <v>39</v>
      </c>
      <c r="L511" s="112">
        <v>38.688369999999999</v>
      </c>
      <c r="M511" s="112">
        <v>-75.649050000000003</v>
      </c>
      <c r="N511" s="101" t="s">
        <v>3782</v>
      </c>
      <c r="O511" s="101" t="s">
        <v>3407</v>
      </c>
      <c r="P511" s="82">
        <v>19973</v>
      </c>
      <c r="Q511" s="82"/>
      <c r="R511" s="82" t="s">
        <v>37</v>
      </c>
      <c r="S511" s="82"/>
      <c r="T511" s="82" t="s">
        <v>38</v>
      </c>
      <c r="U511" s="97">
        <v>1985</v>
      </c>
      <c r="V511" s="97" t="s">
        <v>66</v>
      </c>
      <c r="W511" s="97" t="s">
        <v>66</v>
      </c>
      <c r="X511" s="97" t="s">
        <v>3783</v>
      </c>
      <c r="Y511" s="102" t="s">
        <v>3784</v>
      </c>
      <c r="Z511" s="102" t="s">
        <v>3785</v>
      </c>
    </row>
    <row r="512" spans="1:26" s="145" customFormat="1" ht="45" x14ac:dyDescent="0.25">
      <c r="A512" s="82" t="s">
        <v>3786</v>
      </c>
      <c r="B512" s="82" t="s">
        <v>3787</v>
      </c>
      <c r="C512" s="82" t="str">
        <f t="shared" si="17"/>
        <v>SC-071  - Sudler House Attawattacoquin</v>
      </c>
      <c r="D512" s="96" t="s">
        <v>3788</v>
      </c>
      <c r="E512" s="96" t="s">
        <v>29</v>
      </c>
      <c r="F512" s="97" t="s">
        <v>30</v>
      </c>
      <c r="G512" s="97"/>
      <c r="H512" s="96" t="s">
        <v>1375</v>
      </c>
      <c r="I512" s="99" t="s">
        <v>3789</v>
      </c>
      <c r="J512" s="95">
        <v>18</v>
      </c>
      <c r="K512" s="95">
        <v>35</v>
      </c>
      <c r="L512" s="100">
        <v>38.74718</v>
      </c>
      <c r="M512" s="100" t="s">
        <v>3790</v>
      </c>
      <c r="N512" s="101" t="s">
        <v>3791</v>
      </c>
      <c r="O512" s="82" t="s">
        <v>3400</v>
      </c>
      <c r="P512" s="82">
        <v>19933</v>
      </c>
      <c r="Q512" s="82"/>
      <c r="R512" s="82" t="s">
        <v>37</v>
      </c>
      <c r="S512" s="82" t="s">
        <v>3792</v>
      </c>
      <c r="T512" s="82" t="s">
        <v>38</v>
      </c>
      <c r="U512" s="97">
        <v>1976</v>
      </c>
      <c r="V512" s="97">
        <v>1976</v>
      </c>
      <c r="W512" s="97" t="s">
        <v>39</v>
      </c>
      <c r="X512" s="97">
        <v>2014</v>
      </c>
      <c r="Y512" s="103" t="s">
        <v>3793</v>
      </c>
      <c r="Z512" s="102" t="s">
        <v>3794</v>
      </c>
    </row>
    <row r="513" spans="1:26" s="82" customFormat="1" ht="63.75" x14ac:dyDescent="0.25">
      <c r="A513" s="82" t="s">
        <v>3795</v>
      </c>
      <c r="B513" s="82" t="s">
        <v>3796</v>
      </c>
      <c r="C513" s="82" t="str">
        <f t="shared" si="17"/>
        <v>SC-072  - George Alfred Townsend Birthplace</v>
      </c>
      <c r="D513" s="96" t="s">
        <v>3797</v>
      </c>
      <c r="E513" s="96" t="s">
        <v>29</v>
      </c>
      <c r="F513" s="97" t="s">
        <v>30</v>
      </c>
      <c r="G513" s="97"/>
      <c r="H513" s="96" t="s">
        <v>628</v>
      </c>
      <c r="I513" s="99" t="s">
        <v>301</v>
      </c>
      <c r="J513" s="95">
        <v>19</v>
      </c>
      <c r="K513" s="95">
        <v>37</v>
      </c>
      <c r="L513" s="100" t="s">
        <v>3798</v>
      </c>
      <c r="M513" s="100" t="s">
        <v>3799</v>
      </c>
      <c r="N513" s="101" t="s">
        <v>3800</v>
      </c>
      <c r="O513" s="82" t="s">
        <v>3471</v>
      </c>
      <c r="P513" s="82">
        <v>19947</v>
      </c>
      <c r="R513" s="82" t="s">
        <v>37</v>
      </c>
      <c r="S513" s="82" t="s">
        <v>3801</v>
      </c>
      <c r="T513" s="82" t="s">
        <v>38</v>
      </c>
      <c r="U513" s="97">
        <v>1982</v>
      </c>
      <c r="V513" s="97">
        <v>1982</v>
      </c>
      <c r="W513" s="97" t="s">
        <v>66</v>
      </c>
      <c r="X513" s="97">
        <v>2001</v>
      </c>
      <c r="Y513" s="102" t="s">
        <v>3802</v>
      </c>
      <c r="Z513" s="102" t="s">
        <v>3803</v>
      </c>
    </row>
    <row r="514" spans="1:26" s="82" customFormat="1" ht="45" x14ac:dyDescent="0.25">
      <c r="A514" s="82" t="s">
        <v>3804</v>
      </c>
      <c r="B514" s="82" t="s">
        <v>3805</v>
      </c>
      <c r="C514" s="82" t="str">
        <f t="shared" si="17"/>
        <v>SC-073  - Shipwreck of "The Faithful Steward"</v>
      </c>
      <c r="D514" s="96" t="s">
        <v>3806</v>
      </c>
      <c r="E514" s="96" t="s">
        <v>29</v>
      </c>
      <c r="F514" s="97" t="s">
        <v>30</v>
      </c>
      <c r="G514" s="97"/>
      <c r="H514" s="96" t="s">
        <v>473</v>
      </c>
      <c r="I514" s="99" t="s">
        <v>301</v>
      </c>
      <c r="J514" s="95">
        <v>6</v>
      </c>
      <c r="K514" s="95">
        <v>14</v>
      </c>
      <c r="L514" s="100" t="s">
        <v>3807</v>
      </c>
      <c r="M514" s="100" t="s">
        <v>3808</v>
      </c>
      <c r="N514" s="101" t="s">
        <v>3809</v>
      </c>
      <c r="O514" s="82" t="s">
        <v>3810</v>
      </c>
      <c r="P514" s="82">
        <v>19971</v>
      </c>
      <c r="R514" s="82" t="s">
        <v>37</v>
      </c>
      <c r="S514" s="82" t="s">
        <v>3811</v>
      </c>
      <c r="T514" s="82" t="s">
        <v>38</v>
      </c>
      <c r="U514" s="97">
        <v>1985</v>
      </c>
      <c r="V514" s="97">
        <v>1985</v>
      </c>
      <c r="W514" s="97" t="s">
        <v>66</v>
      </c>
      <c r="X514" s="97">
        <v>2017</v>
      </c>
      <c r="Y514" s="102" t="s">
        <v>1697</v>
      </c>
      <c r="Z514" s="102" t="s">
        <v>3812</v>
      </c>
    </row>
    <row r="515" spans="1:26" s="149" customFormat="1" ht="45" x14ac:dyDescent="0.25">
      <c r="A515" s="82" t="s">
        <v>3813</v>
      </c>
      <c r="B515" s="82" t="s">
        <v>3814</v>
      </c>
      <c r="C515" s="82" t="str">
        <f t="shared" si="17"/>
        <v>SC-074  - Transpeninsular Line</v>
      </c>
      <c r="D515" s="96" t="s">
        <v>3815</v>
      </c>
      <c r="E515" s="96" t="s">
        <v>3591</v>
      </c>
      <c r="F515" s="97" t="s">
        <v>409</v>
      </c>
      <c r="G515" s="97"/>
      <c r="H515" s="96" t="s">
        <v>165</v>
      </c>
      <c r="I515" s="99" t="s">
        <v>301</v>
      </c>
      <c r="J515" s="95">
        <v>20</v>
      </c>
      <c r="K515" s="95">
        <v>38</v>
      </c>
      <c r="L515" s="100" t="s">
        <v>3816</v>
      </c>
      <c r="M515" s="100" t="s">
        <v>3817</v>
      </c>
      <c r="N515" s="101" t="s">
        <v>3818</v>
      </c>
      <c r="O515" s="82" t="s">
        <v>3819</v>
      </c>
      <c r="P515" s="82">
        <v>19944</v>
      </c>
      <c r="Q515" s="82"/>
      <c r="R515" s="82" t="s">
        <v>37</v>
      </c>
      <c r="S515" s="82"/>
      <c r="T515" s="82" t="s">
        <v>38</v>
      </c>
      <c r="U515" s="97">
        <v>1986</v>
      </c>
      <c r="V515" s="97">
        <v>1986</v>
      </c>
      <c r="W515" s="97" t="s">
        <v>66</v>
      </c>
      <c r="X515" s="97"/>
      <c r="Y515" s="102" t="s">
        <v>3820</v>
      </c>
      <c r="Z515" s="102" t="s">
        <v>3821</v>
      </c>
    </row>
    <row r="516" spans="1:26" s="82" customFormat="1" ht="60" x14ac:dyDescent="0.25">
      <c r="A516" s="104" t="s">
        <v>3822</v>
      </c>
      <c r="B516" s="104" t="s">
        <v>3823</v>
      </c>
      <c r="C516" s="104" t="str">
        <f t="shared" si="17"/>
        <v>SC-075  - Delaware Breakwater Quarantine Station 1884-1926</v>
      </c>
      <c r="D516" s="106" t="s">
        <v>98</v>
      </c>
      <c r="E516" s="106" t="s">
        <v>71</v>
      </c>
      <c r="F516" s="107" t="s">
        <v>30</v>
      </c>
      <c r="G516" s="107"/>
      <c r="H516" s="106"/>
      <c r="I516" s="108" t="s">
        <v>301</v>
      </c>
      <c r="J516" s="105">
        <v>6</v>
      </c>
      <c r="K516" s="105">
        <v>14</v>
      </c>
      <c r="L516" s="143" t="s">
        <v>3824</v>
      </c>
      <c r="M516" s="143" t="s">
        <v>3825</v>
      </c>
      <c r="N516" s="110" t="s">
        <v>3826</v>
      </c>
      <c r="O516" s="104" t="s">
        <v>3548</v>
      </c>
      <c r="P516" s="104">
        <v>19958</v>
      </c>
      <c r="Q516" s="104"/>
      <c r="R516" s="104" t="s">
        <v>37</v>
      </c>
      <c r="S516" s="104"/>
      <c r="T516" s="104" t="s">
        <v>38</v>
      </c>
      <c r="U516" s="107">
        <v>1986</v>
      </c>
      <c r="V516" s="107">
        <v>1986</v>
      </c>
      <c r="W516" s="107" t="s">
        <v>66</v>
      </c>
      <c r="X516" s="107"/>
      <c r="Y516" s="111"/>
      <c r="Z516" s="111"/>
    </row>
    <row r="517" spans="1:26" s="82" customFormat="1" ht="45" x14ac:dyDescent="0.25">
      <c r="A517" s="82" t="s">
        <v>3827</v>
      </c>
      <c r="B517" s="82" t="s">
        <v>3828</v>
      </c>
      <c r="C517" s="82" t="str">
        <f t="shared" si="17"/>
        <v>SC-076  - Delaware Technical &amp; Community College</v>
      </c>
      <c r="D517" s="96" t="s">
        <v>3829</v>
      </c>
      <c r="E517" s="96" t="s">
        <v>29</v>
      </c>
      <c r="F517" s="97" t="s">
        <v>276</v>
      </c>
      <c r="G517" s="97"/>
      <c r="H517" s="96" t="s">
        <v>642</v>
      </c>
      <c r="I517" s="99" t="s">
        <v>301</v>
      </c>
      <c r="J517" s="95">
        <v>19</v>
      </c>
      <c r="K517" s="95">
        <v>37</v>
      </c>
      <c r="L517" s="100">
        <v>38.697915999999999</v>
      </c>
      <c r="M517" s="100">
        <v>-75.406108000000003</v>
      </c>
      <c r="N517" s="101" t="s">
        <v>3830</v>
      </c>
      <c r="O517" s="82" t="s">
        <v>3471</v>
      </c>
      <c r="P517" s="82">
        <v>19947</v>
      </c>
      <c r="R517" s="82" t="s">
        <v>37</v>
      </c>
      <c r="T517" s="82" t="s">
        <v>38</v>
      </c>
      <c r="U517" s="97">
        <v>1988</v>
      </c>
      <c r="V517" s="97">
        <v>1988</v>
      </c>
      <c r="W517" s="97" t="s">
        <v>66</v>
      </c>
      <c r="X517" s="97"/>
      <c r="Y517" s="102" t="s">
        <v>3831</v>
      </c>
      <c r="Z517" s="102" t="s">
        <v>3832</v>
      </c>
    </row>
    <row r="518" spans="1:26" s="82" customFormat="1" ht="45" x14ac:dyDescent="0.25">
      <c r="A518" s="82" t="s">
        <v>3833</v>
      </c>
      <c r="B518" s="82" t="s">
        <v>3834</v>
      </c>
      <c r="C518" s="82" t="str">
        <f t="shared" si="17"/>
        <v>SC-077  - Governor Ross Mansion</v>
      </c>
      <c r="D518" s="96" t="s">
        <v>3749</v>
      </c>
      <c r="E518" s="96" t="s">
        <v>29</v>
      </c>
      <c r="F518" s="97" t="s">
        <v>30</v>
      </c>
      <c r="G518" s="97"/>
      <c r="H518" s="96"/>
      <c r="I518" s="99" t="s">
        <v>301</v>
      </c>
      <c r="J518" s="95">
        <v>21</v>
      </c>
      <c r="K518" s="95">
        <v>39</v>
      </c>
      <c r="L518" s="112">
        <v>38.657060000000001</v>
      </c>
      <c r="M518" s="112">
        <v>-75.621080000000006</v>
      </c>
      <c r="N518" s="101" t="s">
        <v>3835</v>
      </c>
      <c r="O518" s="82" t="s">
        <v>3407</v>
      </c>
      <c r="P518" s="82">
        <v>19973</v>
      </c>
      <c r="R518" s="82" t="s">
        <v>37</v>
      </c>
      <c r="S518" s="82" t="s">
        <v>3836</v>
      </c>
      <c r="T518" s="82" t="s">
        <v>38</v>
      </c>
      <c r="U518" s="97">
        <v>1989</v>
      </c>
      <c r="V518" s="97">
        <v>1989</v>
      </c>
      <c r="W518" s="97" t="s">
        <v>66</v>
      </c>
      <c r="X518" s="97"/>
      <c r="Y518" s="102" t="s">
        <v>3837</v>
      </c>
      <c r="Z518" s="102" t="s">
        <v>3838</v>
      </c>
    </row>
    <row r="519" spans="1:26" s="82" customFormat="1" ht="60" x14ac:dyDescent="0.25">
      <c r="A519" s="82" t="s">
        <v>3839</v>
      </c>
      <c r="B519" s="82" t="s">
        <v>3840</v>
      </c>
      <c r="C519" s="82" t="str">
        <f t="shared" si="17"/>
        <v>SC-078  - Ocean View, Delaware: Birthplace of the Commercial Boiler Industry</v>
      </c>
      <c r="D519" s="96" t="s">
        <v>3841</v>
      </c>
      <c r="E519" s="96" t="s">
        <v>29</v>
      </c>
      <c r="F519" s="97" t="s">
        <v>205</v>
      </c>
      <c r="G519" s="97"/>
      <c r="H519" s="96" t="s">
        <v>3842</v>
      </c>
      <c r="I519" s="99" t="s">
        <v>301</v>
      </c>
      <c r="J519" s="95">
        <v>20</v>
      </c>
      <c r="K519" s="95">
        <v>38</v>
      </c>
      <c r="L519" s="100" t="s">
        <v>3843</v>
      </c>
      <c r="M519" s="100" t="s">
        <v>3844</v>
      </c>
      <c r="N519" s="101" t="s">
        <v>3845</v>
      </c>
      <c r="O519" s="82" t="s">
        <v>3846</v>
      </c>
      <c r="P519" s="82">
        <v>19970</v>
      </c>
      <c r="R519" s="82" t="s">
        <v>37</v>
      </c>
      <c r="T519" s="82" t="s">
        <v>38</v>
      </c>
      <c r="U519" s="97">
        <v>1989</v>
      </c>
      <c r="V519" s="97">
        <v>1989</v>
      </c>
      <c r="W519" s="97" t="s">
        <v>66</v>
      </c>
      <c r="X519" s="97"/>
      <c r="Y519" s="102" t="s">
        <v>3847</v>
      </c>
      <c r="Z519" s="102" t="s">
        <v>3848</v>
      </c>
    </row>
    <row r="520" spans="1:26" s="82" customFormat="1" ht="51" x14ac:dyDescent="0.25">
      <c r="A520" s="82" t="s">
        <v>3849</v>
      </c>
      <c r="B520" s="82" t="s">
        <v>3850</v>
      </c>
      <c r="C520" s="82" t="str">
        <f t="shared" si="17"/>
        <v>SC-079  - Bethel Shipyard</v>
      </c>
      <c r="D520" s="96" t="s">
        <v>3851</v>
      </c>
      <c r="E520" s="96" t="s">
        <v>29</v>
      </c>
      <c r="F520" s="97" t="s">
        <v>30</v>
      </c>
      <c r="G520" s="97"/>
      <c r="H520" s="96" t="s">
        <v>1018</v>
      </c>
      <c r="I520" s="99" t="s">
        <v>301</v>
      </c>
      <c r="J520" s="95">
        <v>21</v>
      </c>
      <c r="K520" s="95">
        <v>40</v>
      </c>
      <c r="L520" s="100" t="s">
        <v>3852</v>
      </c>
      <c r="M520" s="100" t="s">
        <v>3853</v>
      </c>
      <c r="N520" s="101" t="s">
        <v>3854</v>
      </c>
      <c r="O520" s="82" t="s">
        <v>3855</v>
      </c>
      <c r="P520" s="82">
        <v>19931</v>
      </c>
      <c r="R520" s="82" t="s">
        <v>37</v>
      </c>
      <c r="T520" s="82" t="s">
        <v>38</v>
      </c>
      <c r="U520" s="97">
        <v>1989</v>
      </c>
      <c r="V520" s="97">
        <v>1989</v>
      </c>
      <c r="W520" s="97" t="s">
        <v>66</v>
      </c>
      <c r="X520" s="97"/>
      <c r="Y520" s="102" t="s">
        <v>3856</v>
      </c>
      <c r="Z520" s="102" t="s">
        <v>3857</v>
      </c>
    </row>
    <row r="521" spans="1:26" s="82" customFormat="1" ht="45" x14ac:dyDescent="0.25">
      <c r="A521" s="82" t="s">
        <v>3858</v>
      </c>
      <c r="B521" s="82" t="s">
        <v>3859</v>
      </c>
      <c r="C521" s="82" t="str">
        <f t="shared" si="17"/>
        <v>SC-080  - William C. Jason Comprehensive High School</v>
      </c>
      <c r="D521" s="96" t="s">
        <v>3829</v>
      </c>
      <c r="E521" s="96" t="s">
        <v>29</v>
      </c>
      <c r="F521" s="97" t="s">
        <v>276</v>
      </c>
      <c r="G521" s="97" t="s">
        <v>293</v>
      </c>
      <c r="H521" s="115"/>
      <c r="I521" s="99" t="s">
        <v>301</v>
      </c>
      <c r="J521" s="95">
        <v>19</v>
      </c>
      <c r="K521" s="95">
        <v>37</v>
      </c>
      <c r="L521" s="100">
        <v>38.698264000000002</v>
      </c>
      <c r="M521" s="100">
        <v>-75.406161999999995</v>
      </c>
      <c r="N521" s="82" t="s">
        <v>3860</v>
      </c>
      <c r="O521" s="82" t="s">
        <v>3471</v>
      </c>
      <c r="P521" s="82">
        <v>19947</v>
      </c>
      <c r="R521" s="82" t="s">
        <v>37</v>
      </c>
      <c r="S521" s="102" t="s">
        <v>3861</v>
      </c>
      <c r="T521" s="82" t="s">
        <v>38</v>
      </c>
      <c r="U521" s="97">
        <v>1989</v>
      </c>
      <c r="V521" s="97">
        <v>1989</v>
      </c>
      <c r="W521" s="97" t="s">
        <v>66</v>
      </c>
      <c r="X521" s="97"/>
      <c r="Y521" s="102" t="s">
        <v>3862</v>
      </c>
      <c r="Z521" s="102" t="s">
        <v>3863</v>
      </c>
    </row>
    <row r="522" spans="1:26" s="82" customFormat="1" ht="30" x14ac:dyDescent="0.25">
      <c r="A522" s="82" t="s">
        <v>3864</v>
      </c>
      <c r="B522" s="82" t="s">
        <v>3865</v>
      </c>
      <c r="C522" s="82" t="str">
        <f t="shared" si="17"/>
        <v>SC-081  - Absalom Jones, 1746-1818</v>
      </c>
      <c r="D522" s="96" t="s">
        <v>3866</v>
      </c>
      <c r="E522" s="96" t="s">
        <v>29</v>
      </c>
      <c r="F522" s="97" t="s">
        <v>62</v>
      </c>
      <c r="G522" s="97" t="s">
        <v>293</v>
      </c>
      <c r="H522" s="115"/>
      <c r="I522" s="99" t="s">
        <v>301</v>
      </c>
      <c r="J522" s="95">
        <v>18</v>
      </c>
      <c r="K522" s="95">
        <v>36</v>
      </c>
      <c r="L522" s="100" t="s">
        <v>3867</v>
      </c>
      <c r="M522" s="100" t="s">
        <v>3868</v>
      </c>
      <c r="N522" s="101" t="s">
        <v>3869</v>
      </c>
      <c r="O522" s="82" t="s">
        <v>208</v>
      </c>
      <c r="P522" s="82">
        <v>19963</v>
      </c>
      <c r="R522" s="82" t="s">
        <v>37</v>
      </c>
      <c r="S522" s="102" t="s">
        <v>3870</v>
      </c>
      <c r="T522" s="82" t="s">
        <v>38</v>
      </c>
      <c r="U522" s="97">
        <v>1990</v>
      </c>
      <c r="V522" s="97">
        <v>1990</v>
      </c>
      <c r="W522" s="97" t="s">
        <v>66</v>
      </c>
      <c r="X522" s="97">
        <v>2016</v>
      </c>
      <c r="Y522" s="103" t="s">
        <v>3871</v>
      </c>
      <c r="Z522" s="102" t="s">
        <v>3872</v>
      </c>
    </row>
    <row r="523" spans="1:26" s="82" customFormat="1" ht="44.85" customHeight="1" x14ac:dyDescent="0.25">
      <c r="A523" s="82" t="s">
        <v>3873</v>
      </c>
      <c r="B523" s="82" t="s">
        <v>3534</v>
      </c>
      <c r="C523" s="82" t="str">
        <f t="shared" si="17"/>
        <v>SC-082  - Milton</v>
      </c>
      <c r="D523" s="96" t="s">
        <v>3874</v>
      </c>
      <c r="E523" s="96" t="s">
        <v>130</v>
      </c>
      <c r="F523" s="97" t="s">
        <v>205</v>
      </c>
      <c r="G523" s="97"/>
      <c r="H523" s="96" t="s">
        <v>3413</v>
      </c>
      <c r="I523" s="99" t="s">
        <v>301</v>
      </c>
      <c r="J523" s="95">
        <v>6</v>
      </c>
      <c r="K523" s="95">
        <v>20</v>
      </c>
      <c r="L523" s="100" t="s">
        <v>3875</v>
      </c>
      <c r="M523" s="100" t="s">
        <v>3876</v>
      </c>
      <c r="N523" s="101" t="s">
        <v>3877</v>
      </c>
      <c r="O523" s="82" t="s">
        <v>3534</v>
      </c>
      <c r="P523" s="82">
        <v>19968</v>
      </c>
      <c r="R523" s="82" t="s">
        <v>37</v>
      </c>
      <c r="S523" s="82" t="s">
        <v>3878</v>
      </c>
      <c r="T523" s="82" t="s">
        <v>38</v>
      </c>
      <c r="U523" s="97">
        <v>1989</v>
      </c>
      <c r="V523" s="97">
        <v>1989</v>
      </c>
      <c r="W523" s="97" t="s">
        <v>66</v>
      </c>
      <c r="X523" s="97"/>
      <c r="Y523" s="103" t="s">
        <v>3879</v>
      </c>
      <c r="Z523" s="102" t="s">
        <v>3880</v>
      </c>
    </row>
    <row r="524" spans="1:26" s="82" customFormat="1" ht="46.35" customHeight="1" x14ac:dyDescent="0.25">
      <c r="A524" s="82" t="s">
        <v>3881</v>
      </c>
      <c r="B524" s="82" t="s">
        <v>3534</v>
      </c>
      <c r="C524" s="82" t="str">
        <f t="shared" si="17"/>
        <v>SC-083  - Milton</v>
      </c>
      <c r="D524" s="96" t="s">
        <v>3882</v>
      </c>
      <c r="E524" s="96" t="s">
        <v>29</v>
      </c>
      <c r="F524" s="97" t="s">
        <v>205</v>
      </c>
      <c r="G524" s="97"/>
      <c r="H524" s="96" t="s">
        <v>3413</v>
      </c>
      <c r="I524" s="99" t="s">
        <v>301</v>
      </c>
      <c r="J524" s="95">
        <v>6</v>
      </c>
      <c r="K524" s="95">
        <v>20</v>
      </c>
      <c r="L524" s="100" t="s">
        <v>3883</v>
      </c>
      <c r="M524" s="100" t="s">
        <v>3884</v>
      </c>
      <c r="N524" s="101" t="s">
        <v>3885</v>
      </c>
      <c r="O524" s="82" t="s">
        <v>3534</v>
      </c>
      <c r="P524" s="82">
        <v>19968</v>
      </c>
      <c r="R524" s="82" t="s">
        <v>37</v>
      </c>
      <c r="S524" s="82" t="s">
        <v>3886</v>
      </c>
      <c r="T524" s="82" t="s">
        <v>38</v>
      </c>
      <c r="U524" s="97">
        <v>1989</v>
      </c>
      <c r="V524" s="97">
        <v>1989</v>
      </c>
      <c r="W524" s="97" t="s">
        <v>66</v>
      </c>
      <c r="X524" s="97"/>
      <c r="Y524" s="103" t="s">
        <v>3887</v>
      </c>
      <c r="Z524" s="102" t="s">
        <v>3888</v>
      </c>
    </row>
    <row r="525" spans="1:26" s="104" customFormat="1" ht="30" x14ac:dyDescent="0.25">
      <c r="A525" s="82" t="s">
        <v>3889</v>
      </c>
      <c r="B525" s="82" t="s">
        <v>3428</v>
      </c>
      <c r="C525" s="82" t="str">
        <f t="shared" si="17"/>
        <v>SC-084  - Laurel</v>
      </c>
      <c r="D525" s="115" t="s">
        <v>3890</v>
      </c>
      <c r="E525" s="96" t="s">
        <v>29</v>
      </c>
      <c r="F525" s="97" t="s">
        <v>205</v>
      </c>
      <c r="G525" s="97"/>
      <c r="H525" s="96"/>
      <c r="I525" s="99" t="s">
        <v>301</v>
      </c>
      <c r="J525" s="95">
        <v>21</v>
      </c>
      <c r="K525" s="95">
        <v>40</v>
      </c>
      <c r="L525" s="100" t="s">
        <v>3440</v>
      </c>
      <c r="M525" s="100" t="s">
        <v>3441</v>
      </c>
      <c r="N525" s="101" t="s">
        <v>3891</v>
      </c>
      <c r="O525" s="82" t="s">
        <v>3428</v>
      </c>
      <c r="P525" s="82">
        <v>19956</v>
      </c>
      <c r="Q525" s="82"/>
      <c r="R525" s="82" t="s">
        <v>37</v>
      </c>
      <c r="S525" s="82" t="s">
        <v>3892</v>
      </c>
      <c r="T525" s="82" t="s">
        <v>38</v>
      </c>
      <c r="U525" s="97">
        <v>1990</v>
      </c>
      <c r="V525" s="97">
        <v>1990</v>
      </c>
      <c r="W525" s="97" t="s">
        <v>66</v>
      </c>
      <c r="X525" s="97" t="s">
        <v>3893</v>
      </c>
      <c r="Y525" s="102" t="s">
        <v>3894</v>
      </c>
      <c r="Z525" s="102" t="s">
        <v>3895</v>
      </c>
    </row>
    <row r="526" spans="1:26" s="82" customFormat="1" ht="51" x14ac:dyDescent="0.25">
      <c r="A526" s="82" t="s">
        <v>3896</v>
      </c>
      <c r="B526" s="82" t="s">
        <v>3897</v>
      </c>
      <c r="C526" s="82" t="str">
        <f t="shared" si="17"/>
        <v>SC-085  - Return Day</v>
      </c>
      <c r="D526" s="96" t="s">
        <v>3898</v>
      </c>
      <c r="E526" s="96" t="s">
        <v>29</v>
      </c>
      <c r="F526" s="97" t="s">
        <v>1175</v>
      </c>
      <c r="G526" s="97"/>
      <c r="H526" s="96" t="s">
        <v>3899</v>
      </c>
      <c r="I526" s="99" t="s">
        <v>301</v>
      </c>
      <c r="J526" s="95">
        <v>19</v>
      </c>
      <c r="K526" s="95">
        <v>37</v>
      </c>
      <c r="L526" s="112">
        <v>38.689619999999998</v>
      </c>
      <c r="M526" s="112">
        <v>-75.38588</v>
      </c>
      <c r="N526" s="101" t="s">
        <v>3800</v>
      </c>
      <c r="O526" s="82" t="s">
        <v>3471</v>
      </c>
      <c r="P526" s="82">
        <v>19947</v>
      </c>
      <c r="R526" s="82" t="s">
        <v>37</v>
      </c>
      <c r="T526" s="82" t="s">
        <v>38</v>
      </c>
      <c r="U526" s="97">
        <v>1990</v>
      </c>
      <c r="V526" s="97">
        <v>1990</v>
      </c>
      <c r="W526" s="97" t="s">
        <v>66</v>
      </c>
      <c r="X526" s="97"/>
      <c r="Y526" s="102" t="s">
        <v>3900</v>
      </c>
      <c r="Z526" s="102" t="s">
        <v>3901</v>
      </c>
    </row>
    <row r="527" spans="1:26" s="82" customFormat="1" ht="63.75" x14ac:dyDescent="0.25">
      <c r="A527" s="82" t="s">
        <v>3902</v>
      </c>
      <c r="B527" s="82" t="s">
        <v>3903</v>
      </c>
      <c r="C527" s="82" t="str">
        <f t="shared" si="17"/>
        <v>SC-086  - Pettijohns Old Field</v>
      </c>
      <c r="D527" s="96" t="s">
        <v>3904</v>
      </c>
      <c r="E527" s="96" t="s">
        <v>29</v>
      </c>
      <c r="F527" s="97" t="s">
        <v>30</v>
      </c>
      <c r="G527" s="97"/>
      <c r="H527" s="96"/>
      <c r="I527" s="99" t="s">
        <v>301</v>
      </c>
      <c r="J527" s="95">
        <v>19</v>
      </c>
      <c r="K527" s="95">
        <v>37</v>
      </c>
      <c r="L527" s="100" t="s">
        <v>3905</v>
      </c>
      <c r="M527" s="100" t="s">
        <v>3906</v>
      </c>
      <c r="N527" s="101" t="s">
        <v>3907</v>
      </c>
      <c r="O527" s="82" t="s">
        <v>3471</v>
      </c>
      <c r="P527" s="82">
        <v>19947</v>
      </c>
      <c r="R527" s="82" t="s">
        <v>37</v>
      </c>
      <c r="T527" s="82" t="s">
        <v>38</v>
      </c>
      <c r="U527" s="97">
        <v>1990</v>
      </c>
      <c r="V527" s="97"/>
      <c r="W527" s="97" t="s">
        <v>66</v>
      </c>
      <c r="X527" s="97"/>
      <c r="Y527" s="102" t="s">
        <v>3908</v>
      </c>
      <c r="Z527" s="102" t="s">
        <v>3909</v>
      </c>
    </row>
    <row r="528" spans="1:26" s="82" customFormat="1" ht="51" x14ac:dyDescent="0.25">
      <c r="A528" s="82" t="s">
        <v>3910</v>
      </c>
      <c r="B528" s="82" t="s">
        <v>3911</v>
      </c>
      <c r="C528" s="82" t="str">
        <f t="shared" si="17"/>
        <v>SC-087  - Sussex County Courthouse</v>
      </c>
      <c r="D528" s="96" t="s">
        <v>3912</v>
      </c>
      <c r="E528" s="96" t="s">
        <v>29</v>
      </c>
      <c r="F528" s="97" t="s">
        <v>30</v>
      </c>
      <c r="G528" s="97"/>
      <c r="H528" s="96"/>
      <c r="I528" s="99" t="s">
        <v>301</v>
      </c>
      <c r="J528" s="95">
        <v>19</v>
      </c>
      <c r="K528" s="95">
        <v>37</v>
      </c>
      <c r="L528" s="100" t="s">
        <v>3913</v>
      </c>
      <c r="M528" s="100" t="s">
        <v>3914</v>
      </c>
      <c r="N528" s="101" t="s">
        <v>3915</v>
      </c>
      <c r="O528" s="82" t="s">
        <v>3471</v>
      </c>
      <c r="P528" s="82">
        <v>19947</v>
      </c>
      <c r="R528" s="82" t="s">
        <v>37</v>
      </c>
      <c r="T528" s="82" t="s">
        <v>38</v>
      </c>
      <c r="U528" s="97">
        <v>1991</v>
      </c>
      <c r="V528" s="97">
        <v>1991</v>
      </c>
      <c r="W528" s="97" t="s">
        <v>66</v>
      </c>
      <c r="X528" s="97"/>
      <c r="Y528" s="102" t="s">
        <v>3916</v>
      </c>
      <c r="Z528" s="102" t="s">
        <v>3917</v>
      </c>
    </row>
    <row r="529" spans="1:26" s="82" customFormat="1" ht="76.5" x14ac:dyDescent="0.25">
      <c r="A529" s="82" t="s">
        <v>3918</v>
      </c>
      <c r="B529" s="82" t="s">
        <v>3919</v>
      </c>
      <c r="C529" s="82" t="str">
        <f t="shared" si="17"/>
        <v>SC-088  - Relocation of County Seat</v>
      </c>
      <c r="D529" s="96" t="s">
        <v>3920</v>
      </c>
      <c r="E529" s="96" t="s">
        <v>29</v>
      </c>
      <c r="F529" s="97" t="s">
        <v>42</v>
      </c>
      <c r="G529" s="97"/>
      <c r="H529" s="96" t="s">
        <v>192</v>
      </c>
      <c r="I529" s="99" t="s">
        <v>301</v>
      </c>
      <c r="J529" s="95">
        <v>19</v>
      </c>
      <c r="K529" s="95">
        <v>37</v>
      </c>
      <c r="L529" s="100" t="s">
        <v>3921</v>
      </c>
      <c r="M529" s="100" t="s">
        <v>3922</v>
      </c>
      <c r="N529" s="101" t="s">
        <v>3923</v>
      </c>
      <c r="O529" s="82" t="s">
        <v>3471</v>
      </c>
      <c r="P529" s="82">
        <v>19947</v>
      </c>
      <c r="R529" s="82" t="s">
        <v>37</v>
      </c>
      <c r="T529" s="82" t="s">
        <v>38</v>
      </c>
      <c r="U529" s="97">
        <v>1991</v>
      </c>
      <c r="V529" s="97">
        <v>1991</v>
      </c>
      <c r="W529" s="97" t="s">
        <v>66</v>
      </c>
      <c r="X529" s="97"/>
      <c r="Y529" s="102" t="s">
        <v>3924</v>
      </c>
      <c r="Z529" s="102" t="s">
        <v>3925</v>
      </c>
    </row>
    <row r="530" spans="1:26" s="82" customFormat="1" ht="45" x14ac:dyDescent="0.25">
      <c r="A530" s="82" t="s">
        <v>3926</v>
      </c>
      <c r="B530" s="82" t="s">
        <v>3927</v>
      </c>
      <c r="C530" s="82" t="str">
        <f t="shared" ref="C530:C561" si="18">A530 &amp; " - " &amp; B530</f>
        <v>SC-089  - Fort Saulsbury</v>
      </c>
      <c r="D530" s="96" t="s">
        <v>3928</v>
      </c>
      <c r="E530" s="96" t="s">
        <v>29</v>
      </c>
      <c r="F530" s="97" t="s">
        <v>30</v>
      </c>
      <c r="G530" s="97"/>
      <c r="H530" s="96"/>
      <c r="I530" s="99" t="s">
        <v>301</v>
      </c>
      <c r="J530" s="95">
        <v>18</v>
      </c>
      <c r="K530" s="95">
        <v>36</v>
      </c>
      <c r="L530" s="112">
        <v>38.934699999999999</v>
      </c>
      <c r="M530" s="100" t="s">
        <v>3929</v>
      </c>
      <c r="N530" s="101" t="s">
        <v>3930</v>
      </c>
      <c r="O530" s="82" t="s">
        <v>208</v>
      </c>
      <c r="P530" s="82">
        <v>19963</v>
      </c>
      <c r="R530" s="82" t="s">
        <v>37</v>
      </c>
      <c r="T530" s="82" t="s">
        <v>38</v>
      </c>
      <c r="U530" s="97">
        <v>1991</v>
      </c>
      <c r="V530" s="97">
        <v>1991</v>
      </c>
      <c r="W530" s="97" t="s">
        <v>66</v>
      </c>
      <c r="X530" s="97">
        <v>2016</v>
      </c>
      <c r="Y530" s="102" t="s">
        <v>3931</v>
      </c>
      <c r="Z530" s="102" t="s">
        <v>3932</v>
      </c>
    </row>
    <row r="531" spans="1:26" s="82" customFormat="1" ht="75" x14ac:dyDescent="0.25">
      <c r="A531" s="82" t="s">
        <v>3933</v>
      </c>
      <c r="B531" s="82" t="s">
        <v>3934</v>
      </c>
      <c r="C531" s="82" t="str">
        <f t="shared" si="18"/>
        <v>SC-090  - City of Rehoboth Beach</v>
      </c>
      <c r="D531" s="96" t="s">
        <v>3935</v>
      </c>
      <c r="E531" s="96" t="s">
        <v>29</v>
      </c>
      <c r="F531" s="97" t="s">
        <v>205</v>
      </c>
      <c r="G531" s="97"/>
      <c r="H531" s="96" t="s">
        <v>565</v>
      </c>
      <c r="I531" s="99" t="s">
        <v>3936</v>
      </c>
      <c r="J531" s="95">
        <v>6</v>
      </c>
      <c r="K531" s="95">
        <v>14</v>
      </c>
      <c r="L531" s="100" t="s">
        <v>3937</v>
      </c>
      <c r="M531" s="100" t="s">
        <v>3938</v>
      </c>
      <c r="N531" s="101" t="s">
        <v>3939</v>
      </c>
      <c r="O531" s="82" t="s">
        <v>3940</v>
      </c>
      <c r="P531" s="82">
        <v>19971</v>
      </c>
      <c r="R531" s="82" t="s">
        <v>3941</v>
      </c>
      <c r="S531" s="82" t="s">
        <v>3942</v>
      </c>
      <c r="T531" s="82" t="s">
        <v>38</v>
      </c>
      <c r="U531" s="97">
        <v>1991</v>
      </c>
      <c r="V531" s="97">
        <v>1991</v>
      </c>
      <c r="W531" s="97" t="s">
        <v>39</v>
      </c>
      <c r="X531" s="97" t="s">
        <v>3943</v>
      </c>
      <c r="Y531" s="102" t="s">
        <v>3944</v>
      </c>
      <c r="Z531" s="102" t="s">
        <v>3945</v>
      </c>
    </row>
    <row r="532" spans="1:26" s="82" customFormat="1" ht="51" x14ac:dyDescent="0.25">
      <c r="A532" s="82" t="s">
        <v>3946</v>
      </c>
      <c r="B532" s="82" t="s">
        <v>3947</v>
      </c>
      <c r="C532" s="82" t="str">
        <f t="shared" si="18"/>
        <v>SC-091  - Old Courthouse</v>
      </c>
      <c r="D532" s="96" t="s">
        <v>3912</v>
      </c>
      <c r="E532" s="96" t="s">
        <v>29</v>
      </c>
      <c r="F532" s="97" t="s">
        <v>30</v>
      </c>
      <c r="G532" s="97"/>
      <c r="H532" s="96"/>
      <c r="I532" s="99"/>
      <c r="J532" s="95">
        <v>19</v>
      </c>
      <c r="K532" s="95">
        <v>37</v>
      </c>
      <c r="L532" s="100" t="s">
        <v>3948</v>
      </c>
      <c r="M532" s="100" t="s">
        <v>3949</v>
      </c>
      <c r="N532" s="101" t="s">
        <v>3950</v>
      </c>
      <c r="O532" s="82" t="s">
        <v>3471</v>
      </c>
      <c r="P532" s="82">
        <v>19947</v>
      </c>
      <c r="R532" s="82" t="s">
        <v>37</v>
      </c>
      <c r="T532" s="82" t="s">
        <v>38</v>
      </c>
      <c r="U532" s="97">
        <v>1992</v>
      </c>
      <c r="V532" s="97">
        <v>1992</v>
      </c>
      <c r="W532" s="97" t="s">
        <v>66</v>
      </c>
      <c r="X532" s="97"/>
      <c r="Y532" s="114" t="s">
        <v>3951</v>
      </c>
      <c r="Z532" s="102" t="s">
        <v>3952</v>
      </c>
    </row>
    <row r="533" spans="1:26" s="82" customFormat="1" ht="45" x14ac:dyDescent="0.25">
      <c r="A533" s="82" t="s">
        <v>3953</v>
      </c>
      <c r="B533" s="82" t="s">
        <v>3954</v>
      </c>
      <c r="C533" s="82" t="str">
        <f t="shared" si="18"/>
        <v>SC-092  - Old Sound Methodist Church</v>
      </c>
      <c r="D533" s="96" t="s">
        <v>3955</v>
      </c>
      <c r="E533" s="96" t="s">
        <v>29</v>
      </c>
      <c r="F533" s="97" t="s">
        <v>191</v>
      </c>
      <c r="G533" s="97"/>
      <c r="H533" s="96" t="s">
        <v>589</v>
      </c>
      <c r="I533" s="99"/>
      <c r="J533" s="95">
        <v>20</v>
      </c>
      <c r="K533" s="95">
        <v>38</v>
      </c>
      <c r="L533" s="100" t="s">
        <v>3956</v>
      </c>
      <c r="M533" s="100" t="s">
        <v>3957</v>
      </c>
      <c r="N533" s="101" t="s">
        <v>3958</v>
      </c>
      <c r="O533" s="82" t="s">
        <v>3514</v>
      </c>
      <c r="P533" s="82">
        <v>19975</v>
      </c>
      <c r="R533" s="82" t="s">
        <v>37</v>
      </c>
      <c r="T533" s="82" t="s">
        <v>38</v>
      </c>
      <c r="U533" s="97">
        <v>1992</v>
      </c>
      <c r="V533" s="97">
        <v>1992</v>
      </c>
      <c r="W533" s="97" t="s">
        <v>66</v>
      </c>
      <c r="X533" s="97"/>
      <c r="Y533" s="114" t="s">
        <v>3959</v>
      </c>
      <c r="Z533" s="114" t="s">
        <v>3960</v>
      </c>
    </row>
    <row r="534" spans="1:26" s="82" customFormat="1" ht="45" x14ac:dyDescent="0.25">
      <c r="A534" s="82" t="s">
        <v>3961</v>
      </c>
      <c r="B534" s="82" t="s">
        <v>3962</v>
      </c>
      <c r="C534" s="82" t="str">
        <f t="shared" si="18"/>
        <v>SC-093  - Antioch Camp Meeting</v>
      </c>
      <c r="D534" s="96" t="s">
        <v>3955</v>
      </c>
      <c r="E534" s="96" t="s">
        <v>29</v>
      </c>
      <c r="F534" s="97" t="s">
        <v>191</v>
      </c>
      <c r="G534" s="97" t="s">
        <v>293</v>
      </c>
      <c r="H534" s="96"/>
      <c r="I534" s="99"/>
      <c r="J534" s="95">
        <v>20</v>
      </c>
      <c r="K534" s="95">
        <v>41</v>
      </c>
      <c r="L534" s="100" t="s">
        <v>3963</v>
      </c>
      <c r="M534" s="100" t="s">
        <v>3964</v>
      </c>
      <c r="N534" s="101" t="s">
        <v>3965</v>
      </c>
      <c r="O534" s="82" t="s">
        <v>3500</v>
      </c>
      <c r="P534" s="82">
        <v>19945</v>
      </c>
      <c r="R534" s="82" t="s">
        <v>37</v>
      </c>
      <c r="T534" s="82" t="s">
        <v>38</v>
      </c>
      <c r="U534" s="97">
        <v>1992</v>
      </c>
      <c r="V534" s="97">
        <v>1992</v>
      </c>
      <c r="W534" s="97" t="s">
        <v>66</v>
      </c>
      <c r="X534" s="97"/>
      <c r="Y534" s="102" t="s">
        <v>3966</v>
      </c>
      <c r="Z534" s="102" t="s">
        <v>3967</v>
      </c>
    </row>
    <row r="535" spans="1:26" s="82" customFormat="1" ht="45" x14ac:dyDescent="0.25">
      <c r="A535" s="82" t="s">
        <v>3968</v>
      </c>
      <c r="B535" s="82" t="s">
        <v>3969</v>
      </c>
      <c r="C535" s="82" t="str">
        <f t="shared" si="18"/>
        <v>SC-094  - Forty &amp; Eight Boxcar</v>
      </c>
      <c r="D535" s="96" t="s">
        <v>3970</v>
      </c>
      <c r="E535" s="96" t="s">
        <v>29</v>
      </c>
      <c r="F535" s="97" t="s">
        <v>30</v>
      </c>
      <c r="G535" s="97"/>
      <c r="H535" s="96"/>
      <c r="I535" s="99"/>
      <c r="J535" s="95">
        <v>21</v>
      </c>
      <c r="K535" s="95">
        <v>39</v>
      </c>
      <c r="L535" s="112">
        <v>38.644309999999997</v>
      </c>
      <c r="M535" s="112">
        <v>-75.609200000000001</v>
      </c>
      <c r="N535" s="101" t="s">
        <v>3971</v>
      </c>
      <c r="O535" s="101" t="s">
        <v>3407</v>
      </c>
      <c r="P535" s="82">
        <v>19973</v>
      </c>
      <c r="R535" s="82" t="s">
        <v>37</v>
      </c>
      <c r="T535" s="82" t="s">
        <v>38</v>
      </c>
      <c r="U535" s="97">
        <v>1992</v>
      </c>
      <c r="V535" s="97">
        <v>1992</v>
      </c>
      <c r="W535" s="97" t="s">
        <v>66</v>
      </c>
      <c r="X535" s="97"/>
      <c r="Y535" s="102" t="s">
        <v>3972</v>
      </c>
      <c r="Z535" s="102" t="s">
        <v>3973</v>
      </c>
    </row>
    <row r="536" spans="1:26" s="82" customFormat="1" ht="51" x14ac:dyDescent="0.25">
      <c r="A536" s="82" t="s">
        <v>3974</v>
      </c>
      <c r="B536" s="82" t="s">
        <v>3975</v>
      </c>
      <c r="C536" s="82" t="str">
        <f t="shared" si="18"/>
        <v>SC-095  - Academy / Masonic Hall</v>
      </c>
      <c r="D536" s="96" t="s">
        <v>3976</v>
      </c>
      <c r="E536" s="96" t="s">
        <v>29</v>
      </c>
      <c r="F536" s="97" t="s">
        <v>30</v>
      </c>
      <c r="G536" s="97"/>
      <c r="H536" s="96" t="s">
        <v>728</v>
      </c>
      <c r="I536" s="99" t="s">
        <v>3977</v>
      </c>
      <c r="J536" s="95">
        <v>19</v>
      </c>
      <c r="K536" s="95">
        <v>37</v>
      </c>
      <c r="L536" s="100" t="s">
        <v>3978</v>
      </c>
      <c r="M536" s="100" t="s">
        <v>3979</v>
      </c>
      <c r="N536" s="101" t="s">
        <v>3980</v>
      </c>
      <c r="O536" s="82" t="s">
        <v>3471</v>
      </c>
      <c r="P536" s="82">
        <v>19947</v>
      </c>
      <c r="R536" s="82" t="s">
        <v>37</v>
      </c>
      <c r="S536" s="82" t="s">
        <v>3981</v>
      </c>
      <c r="T536" s="82" t="s">
        <v>38</v>
      </c>
      <c r="U536" s="97">
        <v>1992</v>
      </c>
      <c r="V536" s="97">
        <v>1992</v>
      </c>
      <c r="W536" s="97" t="s">
        <v>66</v>
      </c>
      <c r="X536" s="97"/>
      <c r="Y536" s="131" t="s">
        <v>3982</v>
      </c>
      <c r="Z536" s="102" t="s">
        <v>3983</v>
      </c>
    </row>
    <row r="537" spans="1:26" s="82" customFormat="1" ht="45" x14ac:dyDescent="0.25">
      <c r="A537" s="82" t="s">
        <v>3984</v>
      </c>
      <c r="B537" s="82" t="s">
        <v>3985</v>
      </c>
      <c r="C537" s="82" t="str">
        <f t="shared" si="18"/>
        <v>SC-096  - General Alfred T.A. Torbert</v>
      </c>
      <c r="D537" s="96" t="s">
        <v>3986</v>
      </c>
      <c r="E537" s="96" t="s">
        <v>29</v>
      </c>
      <c r="F537" s="97" t="s">
        <v>62</v>
      </c>
      <c r="G537" s="97"/>
      <c r="H537" s="96" t="s">
        <v>49</v>
      </c>
      <c r="I537" s="99" t="s">
        <v>3987</v>
      </c>
      <c r="J537" s="95">
        <v>19</v>
      </c>
      <c r="K537" s="95">
        <v>37</v>
      </c>
      <c r="L537" s="100" t="s">
        <v>3988</v>
      </c>
      <c r="M537" s="100" t="s">
        <v>3989</v>
      </c>
      <c r="N537" s="101" t="s">
        <v>3990</v>
      </c>
      <c r="O537" s="82" t="s">
        <v>3471</v>
      </c>
      <c r="P537" s="82">
        <v>19947</v>
      </c>
      <c r="R537" s="82" t="s">
        <v>37</v>
      </c>
      <c r="S537" s="82" t="s">
        <v>3991</v>
      </c>
      <c r="T537" s="82" t="s">
        <v>38</v>
      </c>
      <c r="U537" s="97">
        <v>1993</v>
      </c>
      <c r="V537" s="97">
        <v>1993</v>
      </c>
      <c r="W537" s="97" t="s">
        <v>66</v>
      </c>
      <c r="X537" s="97">
        <v>2024</v>
      </c>
      <c r="Y537" s="102" t="s">
        <v>3992</v>
      </c>
      <c r="Z537" s="102" t="s">
        <v>3993</v>
      </c>
    </row>
    <row r="538" spans="1:26" s="82" customFormat="1" ht="45" x14ac:dyDescent="0.25">
      <c r="A538" s="82" t="s">
        <v>3994</v>
      </c>
      <c r="B538" s="82" t="s">
        <v>3995</v>
      </c>
      <c r="C538" s="82" t="str">
        <f t="shared" si="18"/>
        <v>SC-097  - Bethel Church (Millsboro)</v>
      </c>
      <c r="D538" s="96" t="s">
        <v>3996</v>
      </c>
      <c r="E538" s="96" t="s">
        <v>29</v>
      </c>
      <c r="F538" s="97" t="s">
        <v>191</v>
      </c>
      <c r="G538" s="97"/>
      <c r="H538" s="96" t="s">
        <v>392</v>
      </c>
      <c r="I538" s="99" t="s">
        <v>3997</v>
      </c>
      <c r="J538" s="95">
        <v>21</v>
      </c>
      <c r="K538" s="95">
        <v>41</v>
      </c>
      <c r="L538" s="100">
        <v>38.452269999999999</v>
      </c>
      <c r="M538" s="100">
        <v>-75.355329999999995</v>
      </c>
      <c r="N538" s="101" t="s">
        <v>3998</v>
      </c>
      <c r="O538" s="82" t="s">
        <v>3671</v>
      </c>
      <c r="P538" s="82">
        <v>19966</v>
      </c>
      <c r="R538" s="82" t="s">
        <v>37</v>
      </c>
      <c r="S538" s="82" t="s">
        <v>3999</v>
      </c>
      <c r="T538" s="82" t="s">
        <v>38</v>
      </c>
      <c r="U538" s="97">
        <v>1993</v>
      </c>
      <c r="V538" s="97">
        <v>1993</v>
      </c>
      <c r="W538" s="97" t="s">
        <v>66</v>
      </c>
      <c r="X538" s="97">
        <v>2013</v>
      </c>
      <c r="Y538" s="131" t="s">
        <v>4000</v>
      </c>
      <c r="Z538" s="102" t="s">
        <v>4001</v>
      </c>
    </row>
    <row r="539" spans="1:26" s="82" customFormat="1" ht="41.85" customHeight="1" x14ac:dyDescent="0.25">
      <c r="A539" s="82" t="s">
        <v>4002</v>
      </c>
      <c r="B539" s="82" t="s">
        <v>4003</v>
      </c>
      <c r="C539" s="82" t="str">
        <f t="shared" si="18"/>
        <v>SC-098  - Carey's Camp</v>
      </c>
      <c r="D539" s="96" t="s">
        <v>4004</v>
      </c>
      <c r="E539" s="96" t="s">
        <v>29</v>
      </c>
      <c r="F539" s="97" t="s">
        <v>191</v>
      </c>
      <c r="G539" s="97"/>
      <c r="H539" s="96" t="s">
        <v>968</v>
      </c>
      <c r="I539" s="99" t="s">
        <v>4005</v>
      </c>
      <c r="J539" s="95">
        <v>21</v>
      </c>
      <c r="K539" s="95">
        <v>40</v>
      </c>
      <c r="L539" s="100" t="s">
        <v>4006</v>
      </c>
      <c r="M539" s="100" t="s">
        <v>4007</v>
      </c>
      <c r="N539" s="101" t="s">
        <v>4008</v>
      </c>
      <c r="O539" s="101" t="s">
        <v>3671</v>
      </c>
      <c r="P539" s="82">
        <v>19966</v>
      </c>
      <c r="R539" s="82" t="s">
        <v>37</v>
      </c>
      <c r="S539" s="82" t="s">
        <v>3836</v>
      </c>
      <c r="T539" s="82" t="s">
        <v>38</v>
      </c>
      <c r="U539" s="97">
        <v>1994</v>
      </c>
      <c r="V539" s="97">
        <v>1994</v>
      </c>
      <c r="W539" s="97" t="s">
        <v>39</v>
      </c>
      <c r="X539" s="97">
        <v>2013</v>
      </c>
      <c r="Y539" s="102" t="s">
        <v>4009</v>
      </c>
      <c r="Z539" s="102" t="s">
        <v>4010</v>
      </c>
    </row>
    <row r="540" spans="1:26" s="82" customFormat="1" ht="45" x14ac:dyDescent="0.25">
      <c r="A540" s="82" t="s">
        <v>4011</v>
      </c>
      <c r="B540" s="82" t="s">
        <v>4012</v>
      </c>
      <c r="C540" s="82" t="str">
        <f t="shared" si="18"/>
        <v>SC-099  - Zoar United Methodist Church</v>
      </c>
      <c r="D540" s="96" t="s">
        <v>4013</v>
      </c>
      <c r="E540" s="96" t="s">
        <v>29</v>
      </c>
      <c r="F540" s="97" t="s">
        <v>191</v>
      </c>
      <c r="G540" s="97"/>
      <c r="H540" s="96" t="s">
        <v>4014</v>
      </c>
      <c r="I540" s="99"/>
      <c r="J540" s="95">
        <v>19</v>
      </c>
      <c r="K540" s="95">
        <v>37</v>
      </c>
      <c r="L540" s="100" t="s">
        <v>4015</v>
      </c>
      <c r="M540" s="100" t="s">
        <v>4016</v>
      </c>
      <c r="N540" s="101" t="s">
        <v>4017</v>
      </c>
      <c r="O540" s="82" t="s">
        <v>3671</v>
      </c>
      <c r="P540" s="82">
        <v>19966</v>
      </c>
      <c r="R540" s="82" t="s">
        <v>37</v>
      </c>
      <c r="S540" s="82" t="s">
        <v>4018</v>
      </c>
      <c r="T540" s="82" t="s">
        <v>38</v>
      </c>
      <c r="U540" s="97">
        <v>1994</v>
      </c>
      <c r="V540" s="97">
        <v>1994</v>
      </c>
      <c r="W540" s="97" t="s">
        <v>39</v>
      </c>
      <c r="X540" s="97">
        <v>2015</v>
      </c>
      <c r="Y540" s="102" t="s">
        <v>4019</v>
      </c>
      <c r="Z540" s="102" t="s">
        <v>4020</v>
      </c>
    </row>
    <row r="541" spans="1:26" s="82" customFormat="1" ht="30" x14ac:dyDescent="0.25">
      <c r="A541" s="82" t="s">
        <v>4021</v>
      </c>
      <c r="B541" s="82" t="s">
        <v>4022</v>
      </c>
      <c r="C541" s="82" t="str">
        <f t="shared" si="18"/>
        <v>SC-100  - Blades United Methodist Church</v>
      </c>
      <c r="D541" s="96" t="s">
        <v>4023</v>
      </c>
      <c r="E541" s="96" t="s">
        <v>29</v>
      </c>
      <c r="F541" s="97" t="s">
        <v>191</v>
      </c>
      <c r="G541" s="97"/>
      <c r="H541" s="96" t="s">
        <v>347</v>
      </c>
      <c r="I541" s="120" t="s">
        <v>4024</v>
      </c>
      <c r="J541" s="95">
        <v>21</v>
      </c>
      <c r="K541" s="95">
        <v>39</v>
      </c>
      <c r="L541" s="100" t="s">
        <v>4025</v>
      </c>
      <c r="M541" s="100" t="s">
        <v>4026</v>
      </c>
      <c r="N541" s="101" t="s">
        <v>4027</v>
      </c>
      <c r="O541" s="82" t="s">
        <v>3407</v>
      </c>
      <c r="P541" s="82">
        <v>19973</v>
      </c>
      <c r="R541" s="82" t="s">
        <v>37</v>
      </c>
      <c r="T541" s="82" t="s">
        <v>38</v>
      </c>
      <c r="U541" s="97">
        <v>1994</v>
      </c>
      <c r="V541" s="97">
        <v>1994</v>
      </c>
      <c r="W541" s="97" t="s">
        <v>39</v>
      </c>
      <c r="X541" s="97"/>
      <c r="Y541" s="131" t="s">
        <v>4028</v>
      </c>
      <c r="Z541" s="131" t="s">
        <v>4029</v>
      </c>
    </row>
    <row r="542" spans="1:26" s="82" customFormat="1" ht="45" x14ac:dyDescent="0.25">
      <c r="A542" s="82" t="s">
        <v>4030</v>
      </c>
      <c r="B542" s="82" t="s">
        <v>4031</v>
      </c>
      <c r="C542" s="82" t="str">
        <f t="shared" si="18"/>
        <v>SC-101  - St. Paul's Protestant Episcopal Church</v>
      </c>
      <c r="D542" s="96" t="s">
        <v>4032</v>
      </c>
      <c r="E542" s="96" t="s">
        <v>29</v>
      </c>
      <c r="F542" s="97" t="s">
        <v>191</v>
      </c>
      <c r="G542" s="97"/>
      <c r="H542" s="96" t="s">
        <v>419</v>
      </c>
      <c r="I542" s="99"/>
      <c r="J542" s="95">
        <v>19</v>
      </c>
      <c r="K542" s="95">
        <v>37</v>
      </c>
      <c r="L542" s="100" t="s">
        <v>4033</v>
      </c>
      <c r="M542" s="100" t="s">
        <v>4034</v>
      </c>
      <c r="N542" s="101" t="s">
        <v>4035</v>
      </c>
      <c r="O542" s="82" t="s">
        <v>3471</v>
      </c>
      <c r="P542" s="82">
        <v>19947</v>
      </c>
      <c r="R542" s="82" t="s">
        <v>37</v>
      </c>
      <c r="T542" s="82" t="s">
        <v>38</v>
      </c>
      <c r="U542" s="97">
        <v>1994</v>
      </c>
      <c r="V542" s="97">
        <v>1994</v>
      </c>
      <c r="W542" s="97" t="s">
        <v>39</v>
      </c>
      <c r="X542" s="97"/>
      <c r="Y542" s="102" t="s">
        <v>4036</v>
      </c>
      <c r="Z542" s="102" t="s">
        <v>4037</v>
      </c>
    </row>
    <row r="543" spans="1:26" s="82" customFormat="1" ht="45" x14ac:dyDescent="0.25">
      <c r="A543" s="82" t="s">
        <v>4038</v>
      </c>
      <c r="B543" s="82" t="s">
        <v>4039</v>
      </c>
      <c r="C543" s="82" t="str">
        <f t="shared" si="18"/>
        <v>SC-102  - Dickerson Chapel A.M.E. Church</v>
      </c>
      <c r="D543" s="96" t="s">
        <v>4040</v>
      </c>
      <c r="E543" s="96" t="s">
        <v>29</v>
      </c>
      <c r="F543" s="97" t="s">
        <v>191</v>
      </c>
      <c r="G543" s="97" t="s">
        <v>293</v>
      </c>
      <c r="H543" s="96" t="s">
        <v>4041</v>
      </c>
      <c r="I543" s="99"/>
      <c r="J543" s="95">
        <v>20</v>
      </c>
      <c r="K543" s="95">
        <v>41</v>
      </c>
      <c r="L543" s="112">
        <v>38.569110000000002</v>
      </c>
      <c r="M543" s="112">
        <v>-75.280649999999994</v>
      </c>
      <c r="N543" s="101" t="s">
        <v>4042</v>
      </c>
      <c r="O543" s="101" t="s">
        <v>3671</v>
      </c>
      <c r="P543" s="82">
        <v>19966</v>
      </c>
      <c r="R543" s="82" t="s">
        <v>37</v>
      </c>
      <c r="T543" s="82" t="s">
        <v>38</v>
      </c>
      <c r="U543" s="97">
        <v>1994</v>
      </c>
      <c r="V543" s="97">
        <v>1994</v>
      </c>
      <c r="W543" s="97" t="s">
        <v>39</v>
      </c>
      <c r="X543" s="97"/>
      <c r="Y543" s="102" t="s">
        <v>4043</v>
      </c>
      <c r="Z543" s="102" t="s">
        <v>4044</v>
      </c>
    </row>
    <row r="544" spans="1:26" s="82" customFormat="1" ht="45" x14ac:dyDescent="0.25">
      <c r="A544" s="82" t="s">
        <v>4045</v>
      </c>
      <c r="B544" s="82" t="s">
        <v>4046</v>
      </c>
      <c r="C544" s="82" t="str">
        <f t="shared" si="18"/>
        <v>SC-103  - Town of Delmar</v>
      </c>
      <c r="D544" s="96" t="s">
        <v>4047</v>
      </c>
      <c r="E544" s="96" t="s">
        <v>29</v>
      </c>
      <c r="F544" s="97" t="s">
        <v>205</v>
      </c>
      <c r="G544" s="97"/>
      <c r="H544" s="96"/>
      <c r="I544" s="99" t="s">
        <v>4048</v>
      </c>
      <c r="J544" s="95">
        <v>21</v>
      </c>
      <c r="K544" s="95">
        <v>41</v>
      </c>
      <c r="L544" s="100">
        <v>38.456060000000001</v>
      </c>
      <c r="M544" s="100">
        <v>-75.571449999999999</v>
      </c>
      <c r="N544" s="101" t="s">
        <v>4049</v>
      </c>
      <c r="O544" s="82" t="s">
        <v>3448</v>
      </c>
      <c r="P544" s="82">
        <v>19940</v>
      </c>
      <c r="R544" s="82" t="s">
        <v>37</v>
      </c>
      <c r="T544" s="82" t="s">
        <v>38</v>
      </c>
      <c r="U544" s="97">
        <v>1995</v>
      </c>
      <c r="V544" s="97">
        <v>1995</v>
      </c>
      <c r="W544" s="97" t="s">
        <v>39</v>
      </c>
      <c r="X544" s="97"/>
      <c r="Y544" s="102" t="s">
        <v>4050</v>
      </c>
      <c r="Z544" s="102" t="s">
        <v>4051</v>
      </c>
    </row>
    <row r="545" spans="1:26" s="82" customFormat="1" ht="51" x14ac:dyDescent="0.25">
      <c r="A545" s="82" t="s">
        <v>4052</v>
      </c>
      <c r="B545" s="82" t="s">
        <v>4053</v>
      </c>
      <c r="C545" s="82" t="str">
        <f t="shared" si="18"/>
        <v>SC-104  - Line United Methodist Church</v>
      </c>
      <c r="D545" s="96" t="s">
        <v>4054</v>
      </c>
      <c r="E545" s="96" t="s">
        <v>29</v>
      </c>
      <c r="F545" s="97" t="s">
        <v>191</v>
      </c>
      <c r="G545" s="97"/>
      <c r="H545" s="96" t="s">
        <v>323</v>
      </c>
      <c r="I545" s="99"/>
      <c r="J545" s="95">
        <v>21</v>
      </c>
      <c r="K545" s="95">
        <v>41</v>
      </c>
      <c r="L545" s="100" t="s">
        <v>4055</v>
      </c>
      <c r="M545" s="100" t="s">
        <v>4056</v>
      </c>
      <c r="N545" s="101" t="s">
        <v>4057</v>
      </c>
      <c r="O545" s="82" t="s">
        <v>3448</v>
      </c>
      <c r="P545" s="82">
        <v>19940</v>
      </c>
      <c r="R545" s="82" t="s">
        <v>37</v>
      </c>
      <c r="T545" s="82" t="s">
        <v>38</v>
      </c>
      <c r="U545" s="97">
        <v>1995</v>
      </c>
      <c r="V545" s="97">
        <v>1995</v>
      </c>
      <c r="W545" s="97" t="s">
        <v>39</v>
      </c>
      <c r="X545" s="97"/>
      <c r="Y545" s="102" t="s">
        <v>4058</v>
      </c>
      <c r="Z545" s="102" t="s">
        <v>4059</v>
      </c>
    </row>
    <row r="546" spans="1:26" s="82" customFormat="1" ht="45" x14ac:dyDescent="0.25">
      <c r="A546" s="82" t="s">
        <v>4060</v>
      </c>
      <c r="B546" s="82" t="s">
        <v>4061</v>
      </c>
      <c r="C546" s="82" t="str">
        <f t="shared" si="18"/>
        <v>SC-105  - Bethany United Methodist Church (Lowes Crossroads)</v>
      </c>
      <c r="D546" s="96" t="s">
        <v>4062</v>
      </c>
      <c r="E546" s="96" t="s">
        <v>29</v>
      </c>
      <c r="F546" s="97" t="s">
        <v>191</v>
      </c>
      <c r="G546" s="97"/>
      <c r="H546" s="96" t="s">
        <v>728</v>
      </c>
      <c r="I546" s="99" t="s">
        <v>4063</v>
      </c>
      <c r="J546" s="95">
        <v>21</v>
      </c>
      <c r="K546" s="95">
        <v>41</v>
      </c>
      <c r="L546" s="100" t="s">
        <v>4064</v>
      </c>
      <c r="M546" s="100" t="s">
        <v>4065</v>
      </c>
      <c r="N546" s="101" t="s">
        <v>4066</v>
      </c>
      <c r="O546" s="82" t="s">
        <v>3671</v>
      </c>
      <c r="P546" s="82">
        <v>19966</v>
      </c>
      <c r="R546" s="82" t="s">
        <v>37</v>
      </c>
      <c r="S546" s="82" t="s">
        <v>4067</v>
      </c>
      <c r="T546" s="82" t="s">
        <v>38</v>
      </c>
      <c r="U546" s="97">
        <v>1996</v>
      </c>
      <c r="V546" s="97">
        <v>1996</v>
      </c>
      <c r="W546" s="97" t="s">
        <v>39</v>
      </c>
      <c r="X546" s="97">
        <v>2018</v>
      </c>
      <c r="Y546" s="131" t="s">
        <v>4068</v>
      </c>
      <c r="Z546" s="102" t="s">
        <v>4069</v>
      </c>
    </row>
    <row r="547" spans="1:26" s="82" customFormat="1" ht="45" x14ac:dyDescent="0.25">
      <c r="A547" s="82" t="s">
        <v>4070</v>
      </c>
      <c r="B547" s="82" t="s">
        <v>4071</v>
      </c>
      <c r="C547" s="82" t="str">
        <f t="shared" si="18"/>
        <v>SC-106  - Gumboro United Methodist Church</v>
      </c>
      <c r="D547" s="96" t="s">
        <v>4047</v>
      </c>
      <c r="E547" s="96" t="s">
        <v>29</v>
      </c>
      <c r="F547" s="97" t="s">
        <v>191</v>
      </c>
      <c r="G547" s="97"/>
      <c r="H547" s="96"/>
      <c r="I547" s="99"/>
      <c r="J547" s="95">
        <v>21</v>
      </c>
      <c r="K547" s="95">
        <v>41</v>
      </c>
      <c r="L547" s="100">
        <v>38.479590000000002</v>
      </c>
      <c r="M547" s="100">
        <v>-75.364620000000002</v>
      </c>
      <c r="N547" s="101" t="s">
        <v>4072</v>
      </c>
      <c r="O547" s="82" t="s">
        <v>4073</v>
      </c>
      <c r="P547" s="82">
        <v>19966</v>
      </c>
      <c r="R547" s="82" t="s">
        <v>37</v>
      </c>
      <c r="T547" s="82" t="s">
        <v>38</v>
      </c>
      <c r="U547" s="97">
        <v>1996</v>
      </c>
      <c r="V547" s="97">
        <v>1996</v>
      </c>
      <c r="W547" s="97" t="s">
        <v>39</v>
      </c>
      <c r="X547" s="97"/>
      <c r="Y547" s="114" t="s">
        <v>4074</v>
      </c>
      <c r="Z547" s="102" t="s">
        <v>4075</v>
      </c>
    </row>
    <row r="548" spans="1:26" s="82" customFormat="1" ht="45" x14ac:dyDescent="0.25">
      <c r="A548" s="82" t="s">
        <v>4076</v>
      </c>
      <c r="B548" s="82" t="s">
        <v>4077</v>
      </c>
      <c r="C548" s="82" t="str">
        <f t="shared" si="18"/>
        <v>SC-107  - Prospect A.M.E. Church (Georgetown)</v>
      </c>
      <c r="D548" s="96" t="s">
        <v>4078</v>
      </c>
      <c r="E548" s="96" t="s">
        <v>29</v>
      </c>
      <c r="F548" s="97" t="s">
        <v>191</v>
      </c>
      <c r="G548" s="97" t="s">
        <v>293</v>
      </c>
      <c r="H548" s="96" t="s">
        <v>837</v>
      </c>
      <c r="I548" s="99" t="s">
        <v>4063</v>
      </c>
      <c r="J548" s="95">
        <v>19</v>
      </c>
      <c r="K548" s="95">
        <v>37</v>
      </c>
      <c r="L548" s="100" t="s">
        <v>4079</v>
      </c>
      <c r="M548" s="100" t="s">
        <v>4080</v>
      </c>
      <c r="N548" s="101" t="s">
        <v>4081</v>
      </c>
      <c r="O548" s="82" t="s">
        <v>3471</v>
      </c>
      <c r="P548" s="82">
        <v>19947</v>
      </c>
      <c r="R548" s="82" t="s">
        <v>37</v>
      </c>
      <c r="T548" s="82" t="s">
        <v>38</v>
      </c>
      <c r="U548" s="97">
        <v>1996</v>
      </c>
      <c r="V548" s="97">
        <v>1996</v>
      </c>
      <c r="W548" s="97" t="s">
        <v>39</v>
      </c>
      <c r="X548" s="97"/>
      <c r="Y548" s="102" t="s">
        <v>4082</v>
      </c>
      <c r="Z548" s="102" t="s">
        <v>4083</v>
      </c>
    </row>
    <row r="549" spans="1:26" s="82" customFormat="1" ht="45" x14ac:dyDescent="0.25">
      <c r="A549" s="82" t="s">
        <v>4084</v>
      </c>
      <c r="B549" s="82" t="s">
        <v>4085</v>
      </c>
      <c r="C549" s="82" t="str">
        <f t="shared" si="18"/>
        <v>SC-108  - St. John‘s Methodist Church (Georgetown)</v>
      </c>
      <c r="D549" s="96" t="s">
        <v>4086</v>
      </c>
      <c r="E549" s="96" t="s">
        <v>29</v>
      </c>
      <c r="F549" s="97" t="s">
        <v>191</v>
      </c>
      <c r="G549" s="97"/>
      <c r="H549" s="96" t="s">
        <v>1076</v>
      </c>
      <c r="I549" s="99" t="s">
        <v>4063</v>
      </c>
      <c r="J549" s="95">
        <v>19</v>
      </c>
      <c r="K549" s="95">
        <v>37</v>
      </c>
      <c r="L549" s="100" t="s">
        <v>4087</v>
      </c>
      <c r="M549" s="100" t="s">
        <v>4088</v>
      </c>
      <c r="N549" s="101" t="s">
        <v>4089</v>
      </c>
      <c r="O549" s="82" t="s">
        <v>3471</v>
      </c>
      <c r="P549" s="82">
        <v>19947</v>
      </c>
      <c r="R549" s="82" t="s">
        <v>37</v>
      </c>
      <c r="S549" s="82" t="s">
        <v>4090</v>
      </c>
      <c r="T549" s="82" t="s">
        <v>435</v>
      </c>
      <c r="U549" s="97">
        <v>1996</v>
      </c>
      <c r="V549" s="97">
        <v>1996</v>
      </c>
      <c r="W549" s="97" t="s">
        <v>593</v>
      </c>
      <c r="X549" s="97">
        <v>2000</v>
      </c>
      <c r="Y549" s="131" t="s">
        <v>4091</v>
      </c>
      <c r="Z549" s="102" t="s">
        <v>4092</v>
      </c>
    </row>
    <row r="550" spans="1:26" s="82" customFormat="1" ht="45" x14ac:dyDescent="0.25">
      <c r="A550" s="82" t="s">
        <v>4093</v>
      </c>
      <c r="B550" s="82" t="s">
        <v>4094</v>
      </c>
      <c r="C550" s="82" t="str">
        <f t="shared" si="18"/>
        <v>SC-109  - St. George's United Methodist Church</v>
      </c>
      <c r="D550" s="96" t="s">
        <v>4095</v>
      </c>
      <c r="E550" s="96" t="s">
        <v>29</v>
      </c>
      <c r="F550" s="97" t="s">
        <v>191</v>
      </c>
      <c r="G550" s="97"/>
      <c r="H550" s="96"/>
      <c r="I550" s="99"/>
      <c r="J550" s="95">
        <v>20</v>
      </c>
      <c r="K550" s="95">
        <v>41</v>
      </c>
      <c r="L550" s="100" t="s">
        <v>4096</v>
      </c>
      <c r="M550" s="100" t="s">
        <v>4097</v>
      </c>
      <c r="N550" s="101" t="s">
        <v>4098</v>
      </c>
      <c r="O550" s="82" t="s">
        <v>3500</v>
      </c>
      <c r="P550" s="82">
        <v>19945</v>
      </c>
      <c r="R550" s="82" t="s">
        <v>37</v>
      </c>
      <c r="T550" s="82" t="s">
        <v>38</v>
      </c>
      <c r="U550" s="97">
        <v>1996</v>
      </c>
      <c r="V550" s="97">
        <v>1996</v>
      </c>
      <c r="W550" s="97" t="s">
        <v>39</v>
      </c>
      <c r="X550" s="97"/>
      <c r="Y550" s="102" t="s">
        <v>4099</v>
      </c>
      <c r="Z550" s="102" t="s">
        <v>4100</v>
      </c>
    </row>
    <row r="551" spans="1:26" s="82" customFormat="1" ht="45" x14ac:dyDescent="0.25">
      <c r="A551" s="82" t="s">
        <v>4101</v>
      </c>
      <c r="B551" s="82" t="s">
        <v>4102</v>
      </c>
      <c r="C551" s="82" t="str">
        <f t="shared" si="18"/>
        <v>SC-110  - Concord United Methodist Church</v>
      </c>
      <c r="D551" s="96" t="s">
        <v>4103</v>
      </c>
      <c r="E551" s="96" t="s">
        <v>29</v>
      </c>
      <c r="F551" s="97" t="s">
        <v>191</v>
      </c>
      <c r="G551" s="97"/>
      <c r="H551" s="96" t="s">
        <v>4104</v>
      </c>
      <c r="I551" s="99"/>
      <c r="J551" s="95">
        <v>19</v>
      </c>
      <c r="K551" s="95">
        <v>39</v>
      </c>
      <c r="L551" s="112">
        <v>38.63991</v>
      </c>
      <c r="M551" s="112">
        <v>-75.553229999999999</v>
      </c>
      <c r="N551" s="101" t="s">
        <v>4105</v>
      </c>
      <c r="O551" s="101" t="s">
        <v>3407</v>
      </c>
      <c r="P551" s="82">
        <v>19973</v>
      </c>
      <c r="R551" s="82" t="s">
        <v>37</v>
      </c>
      <c r="T551" s="82" t="s">
        <v>38</v>
      </c>
      <c r="U551" s="97">
        <v>1996</v>
      </c>
      <c r="V551" s="97">
        <v>1996</v>
      </c>
      <c r="W551" s="97" t="s">
        <v>39</v>
      </c>
      <c r="X551" s="97"/>
      <c r="Y551" s="102" t="s">
        <v>4106</v>
      </c>
      <c r="Z551" s="102" t="s">
        <v>4107</v>
      </c>
    </row>
    <row r="552" spans="1:26" s="82" customFormat="1" ht="51" x14ac:dyDescent="0.25">
      <c r="A552" s="82" t="s">
        <v>4108</v>
      </c>
      <c r="B552" s="82" t="s">
        <v>4109</v>
      </c>
      <c r="C552" s="82" t="str">
        <f t="shared" si="18"/>
        <v>SC-111  - The Judges</v>
      </c>
      <c r="D552" s="96" t="s">
        <v>3912</v>
      </c>
      <c r="E552" s="96" t="s">
        <v>29</v>
      </c>
      <c r="F552" s="97" t="s">
        <v>30</v>
      </c>
      <c r="G552" s="97"/>
      <c r="H552" s="96"/>
      <c r="I552" s="99"/>
      <c r="J552" s="95">
        <v>19</v>
      </c>
      <c r="K552" s="95">
        <v>37</v>
      </c>
      <c r="L552" s="100" t="s">
        <v>4110</v>
      </c>
      <c r="M552" s="100" t="s">
        <v>4111</v>
      </c>
      <c r="N552" s="101" t="s">
        <v>4112</v>
      </c>
      <c r="O552" s="82" t="s">
        <v>3471</v>
      </c>
      <c r="P552" s="82">
        <v>19947</v>
      </c>
      <c r="R552" s="82" t="s">
        <v>37</v>
      </c>
      <c r="T552" s="82" t="s">
        <v>38</v>
      </c>
      <c r="U552" s="97">
        <v>1996</v>
      </c>
      <c r="V552" s="97">
        <v>1996</v>
      </c>
      <c r="W552" s="97" t="s">
        <v>39</v>
      </c>
      <c r="X552" s="97"/>
      <c r="Y552" s="103" t="s">
        <v>4113</v>
      </c>
      <c r="Z552" s="102" t="s">
        <v>4114</v>
      </c>
    </row>
    <row r="553" spans="1:26" s="82" customFormat="1" ht="45" x14ac:dyDescent="0.25">
      <c r="A553" s="82" t="s">
        <v>4115</v>
      </c>
      <c r="B553" s="82" t="s">
        <v>4116</v>
      </c>
      <c r="C553" s="82" t="str">
        <f t="shared" si="18"/>
        <v>SC-112  - Bethesda United Methodist Church (Georgetown)</v>
      </c>
      <c r="D553" s="96" t="s">
        <v>4117</v>
      </c>
      <c r="E553" s="96" t="s">
        <v>29</v>
      </c>
      <c r="F553" s="97" t="s">
        <v>191</v>
      </c>
      <c r="G553" s="97"/>
      <c r="H553" s="96" t="s">
        <v>656</v>
      </c>
      <c r="I553" s="99"/>
      <c r="J553" s="95">
        <v>19</v>
      </c>
      <c r="K553" s="95">
        <v>37</v>
      </c>
      <c r="L553" s="112">
        <v>38.638150000000003</v>
      </c>
      <c r="M553" s="112">
        <v>-75.346680000000006</v>
      </c>
      <c r="N553" s="101" t="s">
        <v>4118</v>
      </c>
      <c r="O553" s="101" t="s">
        <v>3471</v>
      </c>
      <c r="P553" s="82">
        <v>19947</v>
      </c>
      <c r="R553" s="82" t="s">
        <v>37</v>
      </c>
      <c r="T553" s="82" t="s">
        <v>38</v>
      </c>
      <c r="U553" s="97">
        <v>1997</v>
      </c>
      <c r="V553" s="97">
        <v>1997</v>
      </c>
      <c r="W553" s="97" t="s">
        <v>39</v>
      </c>
      <c r="X553" s="97"/>
      <c r="Y553" s="102" t="s">
        <v>4119</v>
      </c>
      <c r="Z553" s="102" t="s">
        <v>4120</v>
      </c>
    </row>
    <row r="554" spans="1:26" s="82" customFormat="1" ht="45" x14ac:dyDescent="0.25">
      <c r="A554" s="82" t="s">
        <v>4121</v>
      </c>
      <c r="B554" s="82" t="s">
        <v>4122</v>
      </c>
      <c r="C554" s="82" t="str">
        <f t="shared" si="18"/>
        <v>SC-113  - Hickory Hill Methodist Church</v>
      </c>
      <c r="D554" s="96" t="s">
        <v>4123</v>
      </c>
      <c r="E554" s="96" t="s">
        <v>130</v>
      </c>
      <c r="F554" s="97" t="s">
        <v>191</v>
      </c>
      <c r="G554" s="97"/>
      <c r="H554" s="96"/>
      <c r="I554" s="99" t="s">
        <v>4063</v>
      </c>
      <c r="J554" s="95">
        <v>21</v>
      </c>
      <c r="K554" s="95">
        <v>41</v>
      </c>
      <c r="L554" s="100" t="s">
        <v>4124</v>
      </c>
      <c r="M554" s="100" t="s">
        <v>4125</v>
      </c>
      <c r="N554" s="101" t="s">
        <v>4126</v>
      </c>
      <c r="O554" s="82" t="s">
        <v>3492</v>
      </c>
      <c r="P554" s="82">
        <v>19939</v>
      </c>
      <c r="R554" s="82" t="s">
        <v>37</v>
      </c>
      <c r="T554" s="82" t="s">
        <v>435</v>
      </c>
      <c r="U554" s="97">
        <v>1997</v>
      </c>
      <c r="V554" s="97">
        <v>1997</v>
      </c>
      <c r="W554" s="97" t="s">
        <v>593</v>
      </c>
      <c r="X554" s="97"/>
      <c r="Y554" s="103" t="s">
        <v>4127</v>
      </c>
      <c r="Z554" s="102" t="s">
        <v>4128</v>
      </c>
    </row>
    <row r="555" spans="1:26" s="94" customFormat="1" ht="45" x14ac:dyDescent="0.25">
      <c r="A555" s="82" t="s">
        <v>4129</v>
      </c>
      <c r="B555" s="82" t="s">
        <v>4130</v>
      </c>
      <c r="C555" s="82" t="str">
        <f t="shared" si="18"/>
        <v>SC-114  - Nanticoke Post #6</v>
      </c>
      <c r="D555" s="96" t="s">
        <v>4131</v>
      </c>
      <c r="E555" s="96" t="s">
        <v>130</v>
      </c>
      <c r="F555" s="97" t="s">
        <v>42</v>
      </c>
      <c r="G555" s="97"/>
      <c r="H555" s="115" t="s">
        <v>139</v>
      </c>
      <c r="I555" s="99" t="s">
        <v>4132</v>
      </c>
      <c r="J555" s="95">
        <v>21</v>
      </c>
      <c r="K555" s="95">
        <v>39</v>
      </c>
      <c r="L555" s="112">
        <v>38.644550000000002</v>
      </c>
      <c r="M555" s="112">
        <v>-75.609179999999995</v>
      </c>
      <c r="N555" s="101" t="s">
        <v>3971</v>
      </c>
      <c r="O555" s="101" t="s">
        <v>3407</v>
      </c>
      <c r="P555" s="82">
        <v>19973</v>
      </c>
      <c r="Q555" s="82"/>
      <c r="R555" s="82" t="s">
        <v>37</v>
      </c>
      <c r="S555" s="82"/>
      <c r="T555" s="82" t="s">
        <v>435</v>
      </c>
      <c r="U555" s="97">
        <v>1997</v>
      </c>
      <c r="V555" s="97">
        <v>1997</v>
      </c>
      <c r="W555" s="97" t="s">
        <v>4133</v>
      </c>
      <c r="X555" s="97"/>
      <c r="Y555" s="102" t="s">
        <v>4134</v>
      </c>
      <c r="Z555" s="102" t="s">
        <v>4135</v>
      </c>
    </row>
    <row r="556" spans="1:26" s="82" customFormat="1" ht="45" x14ac:dyDescent="0.25">
      <c r="A556" s="82" t="s">
        <v>4136</v>
      </c>
      <c r="B556" s="82" t="s">
        <v>4137</v>
      </c>
      <c r="C556" s="82" t="str">
        <f t="shared" si="18"/>
        <v>SC-115  - Slaughter Neck United Methodist Church</v>
      </c>
      <c r="D556" s="96" t="s">
        <v>4138</v>
      </c>
      <c r="E556" s="96" t="s">
        <v>130</v>
      </c>
      <c r="F556" s="97" t="s">
        <v>191</v>
      </c>
      <c r="G556" s="97"/>
      <c r="H556" s="96" t="s">
        <v>3694</v>
      </c>
      <c r="I556" s="99" t="s">
        <v>4139</v>
      </c>
      <c r="J556" s="95">
        <v>18</v>
      </c>
      <c r="K556" s="95">
        <v>36</v>
      </c>
      <c r="L556" s="113">
        <v>38.868609999999997</v>
      </c>
      <c r="M556" s="113">
        <v>-75.339910000000003</v>
      </c>
      <c r="N556" s="101" t="s">
        <v>4140</v>
      </c>
      <c r="O556" s="82" t="s">
        <v>208</v>
      </c>
      <c r="P556" s="82">
        <v>19963</v>
      </c>
      <c r="R556" s="82" t="s">
        <v>37</v>
      </c>
      <c r="T556" s="82" t="s">
        <v>435</v>
      </c>
      <c r="U556" s="97">
        <v>1997</v>
      </c>
      <c r="V556" s="97">
        <v>1997</v>
      </c>
      <c r="W556" s="97" t="s">
        <v>593</v>
      </c>
      <c r="X556" s="97"/>
      <c r="Y556" s="114" t="s">
        <v>4141</v>
      </c>
      <c r="Z556" s="114" t="s">
        <v>4142</v>
      </c>
    </row>
    <row r="557" spans="1:26" s="82" customFormat="1" ht="45" x14ac:dyDescent="0.25">
      <c r="A557" s="82" t="s">
        <v>4143</v>
      </c>
      <c r="B557" s="82" t="s">
        <v>4144</v>
      </c>
      <c r="C557" s="82" t="str">
        <f t="shared" si="18"/>
        <v>SC-116  - Queen Anne's Railroad</v>
      </c>
      <c r="D557" s="96" t="s">
        <v>4145</v>
      </c>
      <c r="E557" s="96" t="s">
        <v>29</v>
      </c>
      <c r="F557" s="97" t="s">
        <v>30</v>
      </c>
      <c r="G557" s="97"/>
      <c r="H557" s="96" t="s">
        <v>153</v>
      </c>
      <c r="I557" s="99" t="s">
        <v>4146</v>
      </c>
      <c r="J557" s="95">
        <v>6</v>
      </c>
      <c r="K557" s="95">
        <v>20</v>
      </c>
      <c r="L557" s="100" t="s">
        <v>4147</v>
      </c>
      <c r="M557" s="100" t="s">
        <v>4148</v>
      </c>
      <c r="N557" s="101" t="s">
        <v>4149</v>
      </c>
      <c r="O557" s="82" t="s">
        <v>3534</v>
      </c>
      <c r="P557" s="82">
        <v>19968</v>
      </c>
      <c r="R557" s="82" t="s">
        <v>37</v>
      </c>
      <c r="S557" s="82" t="s">
        <v>4150</v>
      </c>
      <c r="T557" s="82" t="s">
        <v>38</v>
      </c>
      <c r="U557" s="97" t="s">
        <v>4151</v>
      </c>
      <c r="V557" s="97">
        <v>1997</v>
      </c>
      <c r="W557" s="97" t="s">
        <v>39</v>
      </c>
      <c r="X557" s="97">
        <v>2023</v>
      </c>
      <c r="Y557" s="102" t="s">
        <v>4152</v>
      </c>
      <c r="Z557" s="102" t="s">
        <v>4153</v>
      </c>
    </row>
    <row r="558" spans="1:26" s="82" customFormat="1" ht="45" x14ac:dyDescent="0.25">
      <c r="A558" s="82" t="s">
        <v>4154</v>
      </c>
      <c r="B558" s="82" t="s">
        <v>4155</v>
      </c>
      <c r="C558" s="82" t="str">
        <f t="shared" si="18"/>
        <v>SC-117  - Wesley United Methodist Church (Georgetown)</v>
      </c>
      <c r="D558" s="96" t="s">
        <v>4078</v>
      </c>
      <c r="E558" s="96" t="s">
        <v>29</v>
      </c>
      <c r="F558" s="97" t="s">
        <v>191</v>
      </c>
      <c r="G558" s="97"/>
      <c r="H558" s="96"/>
      <c r="I558" s="99"/>
      <c r="J558" s="95">
        <v>19</v>
      </c>
      <c r="K558" s="95">
        <v>37</v>
      </c>
      <c r="L558" s="100" t="s">
        <v>4156</v>
      </c>
      <c r="M558" s="100" t="s">
        <v>4157</v>
      </c>
      <c r="N558" s="101" t="s">
        <v>4158</v>
      </c>
      <c r="O558" s="82" t="s">
        <v>3471</v>
      </c>
      <c r="P558" s="82">
        <v>19947</v>
      </c>
      <c r="R558" s="82" t="s">
        <v>37</v>
      </c>
      <c r="T558" s="82" t="s">
        <v>435</v>
      </c>
      <c r="U558" s="97">
        <v>1997</v>
      </c>
      <c r="V558" s="97">
        <v>1997</v>
      </c>
      <c r="W558" s="97" t="s">
        <v>593</v>
      </c>
      <c r="X558" s="97"/>
      <c r="Y558" s="102"/>
      <c r="Z558" s="102"/>
    </row>
    <row r="559" spans="1:26" s="82" customFormat="1" ht="45" x14ac:dyDescent="0.2">
      <c r="A559" s="82" t="s">
        <v>4159</v>
      </c>
      <c r="B559" s="82" t="s">
        <v>4160</v>
      </c>
      <c r="C559" s="82" t="str">
        <f t="shared" si="18"/>
        <v>SC-118  - Prince George‘s Chapel</v>
      </c>
      <c r="D559" s="96" t="s">
        <v>3503</v>
      </c>
      <c r="E559" s="96" t="s">
        <v>29</v>
      </c>
      <c r="F559" s="97" t="s">
        <v>191</v>
      </c>
      <c r="G559" s="97"/>
      <c r="H559" s="96" t="s">
        <v>3413</v>
      </c>
      <c r="I559" s="99"/>
      <c r="J559" s="95">
        <v>20</v>
      </c>
      <c r="K559" s="95">
        <v>41</v>
      </c>
      <c r="L559" s="100" t="s">
        <v>4161</v>
      </c>
      <c r="M559" s="100" t="s">
        <v>4162</v>
      </c>
      <c r="N559" s="101" t="s">
        <v>4163</v>
      </c>
      <c r="O559" s="82" t="s">
        <v>3492</v>
      </c>
      <c r="P559" s="82">
        <v>19939</v>
      </c>
      <c r="R559" s="82" t="s">
        <v>37</v>
      </c>
      <c r="T559" s="82" t="s">
        <v>435</v>
      </c>
      <c r="U559" s="97">
        <v>1998</v>
      </c>
      <c r="V559" s="97">
        <v>1998</v>
      </c>
      <c r="W559" s="97" t="s">
        <v>593</v>
      </c>
      <c r="X559" s="97">
        <v>2021</v>
      </c>
      <c r="Y559" s="102" t="s">
        <v>4164</v>
      </c>
      <c r="Z559" s="148" t="s">
        <v>4165</v>
      </c>
    </row>
    <row r="560" spans="1:26" s="82" customFormat="1" ht="45" x14ac:dyDescent="0.25">
      <c r="A560" s="82" t="s">
        <v>4166</v>
      </c>
      <c r="B560" s="82" t="s">
        <v>4167</v>
      </c>
      <c r="C560" s="82" t="str">
        <f t="shared" si="18"/>
        <v>SC-119  - Union Wesley United Methodist Church &amp; Campground</v>
      </c>
      <c r="D560" s="96" t="s">
        <v>4168</v>
      </c>
      <c r="E560" s="96" t="s">
        <v>29</v>
      </c>
      <c r="F560" s="97" t="s">
        <v>191</v>
      </c>
      <c r="G560" s="97" t="s">
        <v>293</v>
      </c>
      <c r="H560" s="96"/>
      <c r="I560" s="99" t="s">
        <v>4169</v>
      </c>
      <c r="J560" s="95">
        <v>20</v>
      </c>
      <c r="K560" s="95">
        <v>38</v>
      </c>
      <c r="L560" s="100" t="s">
        <v>4170</v>
      </c>
      <c r="M560" s="100" t="s">
        <v>4171</v>
      </c>
      <c r="N560" s="101" t="s">
        <v>4172</v>
      </c>
      <c r="O560" s="82" t="s">
        <v>3500</v>
      </c>
      <c r="P560" s="82">
        <v>19945</v>
      </c>
      <c r="R560" s="82" t="s">
        <v>37</v>
      </c>
      <c r="T560" s="82" t="s">
        <v>435</v>
      </c>
      <c r="U560" s="97">
        <v>1998</v>
      </c>
      <c r="V560" s="97">
        <v>1998</v>
      </c>
      <c r="W560" s="97" t="s">
        <v>593</v>
      </c>
      <c r="X560" s="97"/>
      <c r="Y560" s="102"/>
      <c r="Z560" s="102"/>
    </row>
    <row r="561" spans="1:26" s="82" customFormat="1" ht="45" x14ac:dyDescent="0.25">
      <c r="A561" s="82" t="s">
        <v>4173</v>
      </c>
      <c r="B561" s="82" t="s">
        <v>4174</v>
      </c>
      <c r="C561" s="82" t="str">
        <f t="shared" si="18"/>
        <v>SC-120  - St. Paul‘s United Methodist Church (Laurel)</v>
      </c>
      <c r="D561" s="96" t="s">
        <v>4175</v>
      </c>
      <c r="E561" s="96" t="s">
        <v>29</v>
      </c>
      <c r="F561" s="97" t="s">
        <v>191</v>
      </c>
      <c r="G561" s="97"/>
      <c r="H561" s="96" t="s">
        <v>5342</v>
      </c>
      <c r="I561" s="99" t="s">
        <v>4176</v>
      </c>
      <c r="J561" s="95">
        <v>21</v>
      </c>
      <c r="K561" s="95">
        <v>40</v>
      </c>
      <c r="L561" s="100" t="s">
        <v>4177</v>
      </c>
      <c r="M561" s="100" t="s">
        <v>4178</v>
      </c>
      <c r="N561" s="101" t="s">
        <v>4179</v>
      </c>
      <c r="O561" s="82" t="s">
        <v>3428</v>
      </c>
      <c r="P561" s="82">
        <v>19956</v>
      </c>
      <c r="R561" s="82" t="s">
        <v>37</v>
      </c>
      <c r="T561" s="82" t="s">
        <v>435</v>
      </c>
      <c r="U561" s="97">
        <v>1998</v>
      </c>
      <c r="V561" s="97">
        <v>1998</v>
      </c>
      <c r="W561" s="97" t="s">
        <v>593</v>
      </c>
      <c r="X561" s="97"/>
      <c r="Y561" s="102" t="s">
        <v>4180</v>
      </c>
      <c r="Z561" s="102" t="s">
        <v>4181</v>
      </c>
    </row>
    <row r="562" spans="1:26" s="82" customFormat="1" ht="45" x14ac:dyDescent="0.25">
      <c r="A562" s="82" t="s">
        <v>4182</v>
      </c>
      <c r="B562" s="82" t="s">
        <v>4183</v>
      </c>
      <c r="C562" s="82" t="str">
        <f t="shared" ref="C562:C593" si="19">A562 &amp; " - " &amp; B562</f>
        <v>SC-121  - Westwoods Methodist Church</v>
      </c>
      <c r="D562" s="96" t="s">
        <v>4184</v>
      </c>
      <c r="E562" s="96" t="s">
        <v>29</v>
      </c>
      <c r="F562" s="97" t="s">
        <v>191</v>
      </c>
      <c r="G562" s="97"/>
      <c r="H562" s="115" t="s">
        <v>565</v>
      </c>
      <c r="I562" s="99" t="s">
        <v>4063</v>
      </c>
      <c r="J562" s="95">
        <v>21</v>
      </c>
      <c r="K562" s="95">
        <v>41</v>
      </c>
      <c r="L562" s="100">
        <v>38.507930000000002</v>
      </c>
      <c r="M562" s="100">
        <v>-75.369950000000003</v>
      </c>
      <c r="N562" s="101" t="s">
        <v>4185</v>
      </c>
      <c r="O562" s="82" t="s">
        <v>3671</v>
      </c>
      <c r="P562" s="82">
        <v>19966</v>
      </c>
      <c r="R562" s="82" t="s">
        <v>37</v>
      </c>
      <c r="T562" s="82" t="s">
        <v>435</v>
      </c>
      <c r="U562" s="97">
        <v>1998</v>
      </c>
      <c r="V562" s="97">
        <v>1998</v>
      </c>
      <c r="W562" s="97" t="s">
        <v>593</v>
      </c>
      <c r="X562" s="97"/>
      <c r="Y562" s="102" t="s">
        <v>4186</v>
      </c>
      <c r="Z562" s="102" t="s">
        <v>4187</v>
      </c>
    </row>
    <row r="563" spans="1:26" s="82" customFormat="1" ht="45" x14ac:dyDescent="0.25">
      <c r="A563" s="82" t="s">
        <v>4188</v>
      </c>
      <c r="B563" s="82" t="s">
        <v>4189</v>
      </c>
      <c r="C563" s="82" t="str">
        <f t="shared" si="19"/>
        <v>SC-122  - Indian Mission United Methodist Church</v>
      </c>
      <c r="D563" s="96" t="s">
        <v>4190</v>
      </c>
      <c r="E563" s="96" t="s">
        <v>29</v>
      </c>
      <c r="F563" s="97" t="s">
        <v>191</v>
      </c>
      <c r="G563" s="97"/>
      <c r="H563" s="96" t="s">
        <v>787</v>
      </c>
      <c r="I563" s="99" t="s">
        <v>4191</v>
      </c>
      <c r="J563" s="95">
        <v>19</v>
      </c>
      <c r="K563" s="95">
        <v>37</v>
      </c>
      <c r="L563" s="112">
        <v>38.673209999999997</v>
      </c>
      <c r="M563" s="112">
        <v>-75.234449999999995</v>
      </c>
      <c r="N563" s="101" t="s">
        <v>4192</v>
      </c>
      <c r="O563" s="101" t="s">
        <v>4193</v>
      </c>
      <c r="P563" s="82">
        <v>19951</v>
      </c>
      <c r="R563" s="82" t="s">
        <v>37</v>
      </c>
      <c r="S563" s="82" t="s">
        <v>4194</v>
      </c>
      <c r="T563" s="82" t="s">
        <v>435</v>
      </c>
      <c r="U563" s="97">
        <v>1998</v>
      </c>
      <c r="V563" s="97">
        <v>1998</v>
      </c>
      <c r="W563" s="97" t="s">
        <v>593</v>
      </c>
      <c r="X563" s="97">
        <v>2002</v>
      </c>
      <c r="Y563" s="102" t="s">
        <v>4195</v>
      </c>
      <c r="Z563" s="102" t="s">
        <v>4196</v>
      </c>
    </row>
    <row r="564" spans="1:26" s="82" customFormat="1" ht="45" x14ac:dyDescent="0.25">
      <c r="A564" s="82" t="s">
        <v>4197</v>
      </c>
      <c r="B564" s="82" t="s">
        <v>4198</v>
      </c>
      <c r="C564" s="82" t="str">
        <f t="shared" si="19"/>
        <v>SC-123  - Asbury United Methodist Church (Seaford)</v>
      </c>
      <c r="D564" s="115" t="s">
        <v>4199</v>
      </c>
      <c r="E564" s="96" t="s">
        <v>29</v>
      </c>
      <c r="F564" s="97" t="s">
        <v>191</v>
      </c>
      <c r="G564" s="97"/>
      <c r="H564" s="96" t="s">
        <v>247</v>
      </c>
      <c r="I564" s="99"/>
      <c r="J564" s="95">
        <v>19</v>
      </c>
      <c r="K564" s="95">
        <v>35</v>
      </c>
      <c r="L564" s="100" t="s">
        <v>4200</v>
      </c>
      <c r="M564" s="100" t="s">
        <v>4201</v>
      </c>
      <c r="N564" s="101" t="s">
        <v>4202</v>
      </c>
      <c r="O564" s="82" t="s">
        <v>3407</v>
      </c>
      <c r="P564" s="82">
        <v>19973</v>
      </c>
      <c r="R564" s="82" t="s">
        <v>37</v>
      </c>
      <c r="T564" s="82" t="s">
        <v>435</v>
      </c>
      <c r="U564" s="97">
        <v>1998</v>
      </c>
      <c r="V564" s="97">
        <v>1998</v>
      </c>
      <c r="W564" s="97" t="s">
        <v>593</v>
      </c>
      <c r="X564" s="97"/>
      <c r="Y564" s="131" t="s">
        <v>4203</v>
      </c>
      <c r="Z564" s="102" t="s">
        <v>4204</v>
      </c>
    </row>
    <row r="565" spans="1:26" s="82" customFormat="1" ht="45" x14ac:dyDescent="0.25">
      <c r="A565" s="82" t="s">
        <v>4205</v>
      </c>
      <c r="B565" s="82" t="s">
        <v>4206</v>
      </c>
      <c r="C565" s="82" t="str">
        <f t="shared" si="19"/>
        <v>SC-124  - Mariner's Bethel United Methodist Church</v>
      </c>
      <c r="D565" s="96" t="s">
        <v>3815</v>
      </c>
      <c r="E565" s="96" t="s">
        <v>29</v>
      </c>
      <c r="F565" s="97" t="s">
        <v>191</v>
      </c>
      <c r="G565" s="97"/>
      <c r="H565" s="96" t="s">
        <v>4207</v>
      </c>
      <c r="I565" s="99" t="s">
        <v>4169</v>
      </c>
      <c r="J565" s="95">
        <v>20</v>
      </c>
      <c r="K565" s="95">
        <v>38</v>
      </c>
      <c r="L565" s="100" t="s">
        <v>4208</v>
      </c>
      <c r="M565" s="100" t="s">
        <v>4209</v>
      </c>
      <c r="N565" s="101" t="s">
        <v>4210</v>
      </c>
      <c r="O565" s="82" t="s">
        <v>3846</v>
      </c>
      <c r="P565" s="82">
        <v>19970</v>
      </c>
      <c r="R565" s="82" t="s">
        <v>37</v>
      </c>
      <c r="T565" s="82" t="s">
        <v>435</v>
      </c>
      <c r="U565" s="97">
        <v>1998</v>
      </c>
      <c r="V565" s="97">
        <v>1998</v>
      </c>
      <c r="W565" s="97" t="s">
        <v>593</v>
      </c>
      <c r="X565" s="97"/>
      <c r="Y565" s="102"/>
      <c r="Z565" s="102"/>
    </row>
    <row r="566" spans="1:26" s="82" customFormat="1" ht="45" x14ac:dyDescent="0.25">
      <c r="A566" s="82" t="s">
        <v>4211</v>
      </c>
      <c r="B566" s="82" t="s">
        <v>4212</v>
      </c>
      <c r="C566" s="82" t="str">
        <f t="shared" si="19"/>
        <v>SC-125  - Abbott's Mill</v>
      </c>
      <c r="D566" s="96" t="s">
        <v>4213</v>
      </c>
      <c r="E566" s="96" t="s">
        <v>29</v>
      </c>
      <c r="F566" s="97" t="s">
        <v>30</v>
      </c>
      <c r="G566" s="97"/>
      <c r="H566" s="96"/>
      <c r="I566" s="99"/>
      <c r="J566" s="95">
        <v>18</v>
      </c>
      <c r="K566" s="95">
        <v>35</v>
      </c>
      <c r="L566" s="100" t="s">
        <v>4214</v>
      </c>
      <c r="M566" s="100" t="s">
        <v>4215</v>
      </c>
      <c r="N566" s="101" t="s">
        <v>4216</v>
      </c>
      <c r="O566" s="82" t="s">
        <v>208</v>
      </c>
      <c r="P566" s="82">
        <v>19963</v>
      </c>
      <c r="R566" s="82" t="s">
        <v>37</v>
      </c>
      <c r="T566" s="82" t="s">
        <v>435</v>
      </c>
      <c r="U566" s="97">
        <v>1998</v>
      </c>
      <c r="V566" s="97">
        <v>1998</v>
      </c>
      <c r="W566" s="97" t="s">
        <v>593</v>
      </c>
      <c r="X566" s="97"/>
      <c r="Y566" s="102" t="s">
        <v>4217</v>
      </c>
      <c r="Z566" s="102" t="s">
        <v>4218</v>
      </c>
    </row>
    <row r="567" spans="1:26" s="82" customFormat="1" ht="45" x14ac:dyDescent="0.25">
      <c r="A567" s="82" t="s">
        <v>4219</v>
      </c>
      <c r="B567" s="82" t="s">
        <v>4220</v>
      </c>
      <c r="C567" s="82" t="str">
        <f t="shared" si="19"/>
        <v>SC-126  - Mount Olivet United Methodist Church (Seaford)</v>
      </c>
      <c r="D567" s="96" t="s">
        <v>4221</v>
      </c>
      <c r="E567" s="96" t="s">
        <v>130</v>
      </c>
      <c r="F567" s="97" t="s">
        <v>191</v>
      </c>
      <c r="G567" s="97"/>
      <c r="H567" s="96" t="s">
        <v>795</v>
      </c>
      <c r="I567" s="99" t="s">
        <v>301</v>
      </c>
      <c r="J567" s="95">
        <v>21</v>
      </c>
      <c r="K567" s="95">
        <v>39</v>
      </c>
      <c r="L567" s="112">
        <v>38.641199999999998</v>
      </c>
      <c r="M567" s="100" t="s">
        <v>4222</v>
      </c>
      <c r="N567" s="101" t="s">
        <v>4223</v>
      </c>
      <c r="O567" s="101" t="s">
        <v>3407</v>
      </c>
      <c r="P567" s="82">
        <v>19973</v>
      </c>
      <c r="R567" s="82" t="s">
        <v>37</v>
      </c>
      <c r="T567" s="82" t="s">
        <v>435</v>
      </c>
      <c r="U567" s="97">
        <v>1998</v>
      </c>
      <c r="V567" s="97">
        <v>1998</v>
      </c>
      <c r="W567" s="97" t="s">
        <v>593</v>
      </c>
      <c r="X567" s="97"/>
      <c r="Y567" s="131" t="s">
        <v>4224</v>
      </c>
      <c r="Z567" s="102" t="s">
        <v>4225</v>
      </c>
    </row>
    <row r="568" spans="1:26" s="82" customFormat="1" ht="30" x14ac:dyDescent="0.25">
      <c r="A568" s="82" t="s">
        <v>4226</v>
      </c>
      <c r="B568" s="82" t="s">
        <v>4227</v>
      </c>
      <c r="C568" s="82" t="str">
        <f t="shared" si="19"/>
        <v>SC-127  - Goshen Cemetery (Milton)</v>
      </c>
      <c r="D568" s="96" t="s">
        <v>4228</v>
      </c>
      <c r="E568" s="96" t="s">
        <v>29</v>
      </c>
      <c r="F568" s="97" t="s">
        <v>30</v>
      </c>
      <c r="G568" s="97"/>
      <c r="H568" s="96" t="s">
        <v>4229</v>
      </c>
      <c r="I568" s="99" t="s">
        <v>4139</v>
      </c>
      <c r="J568" s="95">
        <v>6</v>
      </c>
      <c r="K568" s="95">
        <v>20</v>
      </c>
      <c r="L568" s="112">
        <v>38.775959999999998</v>
      </c>
      <c r="M568" s="112">
        <v>-75.30986</v>
      </c>
      <c r="N568" s="101" t="s">
        <v>4230</v>
      </c>
      <c r="O568" s="82" t="s">
        <v>3534</v>
      </c>
      <c r="P568" s="82">
        <v>19968</v>
      </c>
      <c r="R568" s="82" t="s">
        <v>37</v>
      </c>
      <c r="T568" s="82" t="s">
        <v>435</v>
      </c>
      <c r="U568" s="97">
        <v>1998</v>
      </c>
      <c r="V568" s="97">
        <v>1998</v>
      </c>
      <c r="W568" s="97" t="s">
        <v>593</v>
      </c>
      <c r="X568" s="97"/>
      <c r="Y568" s="102"/>
      <c r="Z568" s="102"/>
    </row>
    <row r="569" spans="1:26" s="82" customFormat="1" ht="45" x14ac:dyDescent="0.25">
      <c r="A569" s="82" t="s">
        <v>4231</v>
      </c>
      <c r="B569" s="82" t="s">
        <v>4232</v>
      </c>
      <c r="C569" s="82" t="str">
        <f t="shared" si="19"/>
        <v>SC-128  - Salem United Methodist Church (Selbyville)</v>
      </c>
      <c r="D569" s="96" t="s">
        <v>3955</v>
      </c>
      <c r="E569" s="96" t="s">
        <v>29</v>
      </c>
      <c r="F569" s="97" t="s">
        <v>191</v>
      </c>
      <c r="G569" s="97"/>
      <c r="H569" s="96" t="s">
        <v>765</v>
      </c>
      <c r="I569" s="99" t="s">
        <v>4191</v>
      </c>
      <c r="J569" s="95">
        <v>20</v>
      </c>
      <c r="K569" s="95">
        <v>41</v>
      </c>
      <c r="L569" s="100" t="s">
        <v>4233</v>
      </c>
      <c r="M569" s="100" t="s">
        <v>4234</v>
      </c>
      <c r="N569" s="101" t="s">
        <v>4235</v>
      </c>
      <c r="O569" s="82" t="s">
        <v>3514</v>
      </c>
      <c r="P569" s="82">
        <v>19975</v>
      </c>
      <c r="R569" s="82" t="s">
        <v>37</v>
      </c>
      <c r="T569" s="82" t="s">
        <v>435</v>
      </c>
      <c r="U569" s="97">
        <v>1998</v>
      </c>
      <c r="V569" s="97">
        <v>1998</v>
      </c>
      <c r="W569" s="97" t="s">
        <v>593</v>
      </c>
      <c r="X569" s="97"/>
      <c r="Y569" s="102" t="s">
        <v>4236</v>
      </c>
      <c r="Z569" s="102" t="s">
        <v>4237</v>
      </c>
    </row>
    <row r="570" spans="1:26" s="82" customFormat="1" ht="45" x14ac:dyDescent="0.25">
      <c r="A570" s="82" t="s">
        <v>4238</v>
      </c>
      <c r="B570" s="82" t="s">
        <v>4239</v>
      </c>
      <c r="C570" s="82" t="str">
        <f t="shared" si="19"/>
        <v>SC-129  - Godwin's School District #190</v>
      </c>
      <c r="D570" s="96" t="s">
        <v>3418</v>
      </c>
      <c r="E570" s="96" t="s">
        <v>29</v>
      </c>
      <c r="F570" s="97" t="s">
        <v>276</v>
      </c>
      <c r="G570" s="97"/>
      <c r="H570" s="115" t="s">
        <v>565</v>
      </c>
      <c r="I570" s="99"/>
      <c r="J570" s="95">
        <v>19</v>
      </c>
      <c r="K570" s="95">
        <v>41</v>
      </c>
      <c r="L570" s="112">
        <v>38.600071</v>
      </c>
      <c r="M570" s="112">
        <v>-75.346630000000005</v>
      </c>
      <c r="N570" s="101" t="s">
        <v>4240</v>
      </c>
      <c r="O570" s="101" t="s">
        <v>3671</v>
      </c>
      <c r="P570" s="82">
        <v>19966</v>
      </c>
      <c r="R570" s="82" t="s">
        <v>37</v>
      </c>
      <c r="T570" s="82" t="s">
        <v>435</v>
      </c>
      <c r="U570" s="97">
        <v>1999</v>
      </c>
      <c r="V570" s="97">
        <v>1999</v>
      </c>
      <c r="W570" s="97" t="s">
        <v>593</v>
      </c>
      <c r="X570" s="97"/>
      <c r="Y570" s="131" t="s">
        <v>4241</v>
      </c>
      <c r="Z570" s="102" t="s">
        <v>4242</v>
      </c>
    </row>
    <row r="571" spans="1:26" s="82" customFormat="1" ht="45" x14ac:dyDescent="0.25">
      <c r="A571" s="82" t="s">
        <v>4243</v>
      </c>
      <c r="B571" s="82" t="s">
        <v>4244</v>
      </c>
      <c r="C571" s="82" t="str">
        <f t="shared" si="19"/>
        <v>SC-130  - Providence Methodist Church (Georgetown)</v>
      </c>
      <c r="D571" s="96" t="s">
        <v>4117</v>
      </c>
      <c r="E571" s="96" t="s">
        <v>130</v>
      </c>
      <c r="F571" s="97" t="s">
        <v>191</v>
      </c>
      <c r="G571" s="97"/>
      <c r="H571" s="96" t="s">
        <v>392</v>
      </c>
      <c r="I571" s="99" t="s">
        <v>4063</v>
      </c>
      <c r="J571" s="95">
        <v>19</v>
      </c>
      <c r="K571" s="95">
        <v>37</v>
      </c>
      <c r="L571" s="112">
        <v>38.634279999999997</v>
      </c>
      <c r="M571" s="112">
        <v>-75.387339999999995</v>
      </c>
      <c r="N571" s="101" t="s">
        <v>4245</v>
      </c>
      <c r="O571" s="101" t="s">
        <v>3471</v>
      </c>
      <c r="P571" s="82">
        <v>19947</v>
      </c>
      <c r="R571" s="82" t="s">
        <v>37</v>
      </c>
      <c r="T571" s="82" t="s">
        <v>435</v>
      </c>
      <c r="U571" s="97">
        <v>2004</v>
      </c>
      <c r="V571" s="97">
        <v>2004</v>
      </c>
      <c r="W571" s="97" t="s">
        <v>593</v>
      </c>
      <c r="X571" s="97"/>
      <c r="Y571" s="102" t="s">
        <v>4246</v>
      </c>
      <c r="Z571" s="102" t="s">
        <v>4247</v>
      </c>
    </row>
    <row r="572" spans="1:26" s="82" customFormat="1" ht="60" x14ac:dyDescent="0.25">
      <c r="A572" s="82" t="s">
        <v>4248</v>
      </c>
      <c r="B572" s="82" t="s">
        <v>4249</v>
      </c>
      <c r="C572" s="82" t="str">
        <f t="shared" si="19"/>
        <v>SC-131  - Site of Jacobs School #143</v>
      </c>
      <c r="D572" s="96" t="s">
        <v>4250</v>
      </c>
      <c r="E572" s="96" t="s">
        <v>29</v>
      </c>
      <c r="F572" s="97" t="s">
        <v>276</v>
      </c>
      <c r="G572" s="97"/>
      <c r="H572" s="96" t="s">
        <v>4251</v>
      </c>
      <c r="I572" s="99"/>
      <c r="J572" s="95">
        <v>18</v>
      </c>
      <c r="K572" s="95">
        <v>35</v>
      </c>
      <c r="L572" s="112">
        <v>38.720889999999997</v>
      </c>
      <c r="M572" s="112">
        <v>-75.586200000000005</v>
      </c>
      <c r="N572" s="101" t="s">
        <v>4252</v>
      </c>
      <c r="O572" s="82" t="s">
        <v>3400</v>
      </c>
      <c r="P572" s="82">
        <v>19933</v>
      </c>
      <c r="R572" s="82" t="s">
        <v>37</v>
      </c>
      <c r="S572" s="82" t="s">
        <v>4253</v>
      </c>
      <c r="T572" s="82" t="s">
        <v>38</v>
      </c>
      <c r="U572" s="97" t="s">
        <v>4254</v>
      </c>
      <c r="V572" s="97">
        <v>2000</v>
      </c>
      <c r="W572" s="97" t="s">
        <v>39</v>
      </c>
      <c r="X572" s="97">
        <v>2022</v>
      </c>
      <c r="Y572" s="102" t="s">
        <v>4255</v>
      </c>
      <c r="Z572" s="102" t="s">
        <v>4256</v>
      </c>
    </row>
    <row r="573" spans="1:26" s="82" customFormat="1" ht="45" x14ac:dyDescent="0.25">
      <c r="A573" s="82" t="s">
        <v>4257</v>
      </c>
      <c r="B573" s="82" t="s">
        <v>4258</v>
      </c>
      <c r="C573" s="82" t="str">
        <f t="shared" si="19"/>
        <v>SC-132  - St. George's Chapel</v>
      </c>
      <c r="D573" s="96" t="s">
        <v>4259</v>
      </c>
      <c r="E573" s="96" t="s">
        <v>29</v>
      </c>
      <c r="F573" s="97" t="s">
        <v>191</v>
      </c>
      <c r="G573" s="97"/>
      <c r="H573" s="96" t="s">
        <v>4260</v>
      </c>
      <c r="I573" s="99" t="s">
        <v>4261</v>
      </c>
      <c r="J573" s="95">
        <v>19</v>
      </c>
      <c r="K573" s="95">
        <v>37</v>
      </c>
      <c r="L573" s="112">
        <v>38.684370000000001</v>
      </c>
      <c r="M573" s="112">
        <v>-75.218419999999995</v>
      </c>
      <c r="N573" s="101" t="s">
        <v>4262</v>
      </c>
      <c r="O573" s="101" t="s">
        <v>4193</v>
      </c>
      <c r="P573" s="82">
        <v>19951</v>
      </c>
      <c r="Q573" s="82" t="s">
        <v>4263</v>
      </c>
      <c r="R573" s="82" t="s">
        <v>4264</v>
      </c>
      <c r="T573" s="82" t="s">
        <v>435</v>
      </c>
      <c r="U573" s="97">
        <v>1999</v>
      </c>
      <c r="V573" s="97">
        <v>1999</v>
      </c>
      <c r="W573" s="97" t="s">
        <v>593</v>
      </c>
      <c r="X573" s="97"/>
      <c r="Y573" s="131" t="s">
        <v>4265</v>
      </c>
      <c r="Z573" s="102" t="s">
        <v>4266</v>
      </c>
    </row>
    <row r="574" spans="1:26" s="82" customFormat="1" ht="45" x14ac:dyDescent="0.25">
      <c r="A574" s="82" t="s">
        <v>4267</v>
      </c>
      <c r="B574" s="82" t="s">
        <v>4268</v>
      </c>
      <c r="C574" s="82" t="str">
        <f t="shared" si="19"/>
        <v>SC-133  - Georgetown Presbyterian Church</v>
      </c>
      <c r="D574" s="96" t="s">
        <v>4269</v>
      </c>
      <c r="E574" s="96" t="s">
        <v>346</v>
      </c>
      <c r="F574" s="97" t="s">
        <v>191</v>
      </c>
      <c r="G574" s="97"/>
      <c r="H574" s="96" t="s">
        <v>530</v>
      </c>
      <c r="I574" s="99"/>
      <c r="J574" s="95">
        <v>19</v>
      </c>
      <c r="K574" s="95">
        <v>37</v>
      </c>
      <c r="L574" s="100" t="s">
        <v>4270</v>
      </c>
      <c r="M574" s="100" t="s">
        <v>4271</v>
      </c>
      <c r="N574" s="101" t="s">
        <v>4272</v>
      </c>
      <c r="O574" s="82" t="s">
        <v>3471</v>
      </c>
      <c r="P574" s="82">
        <v>19947</v>
      </c>
      <c r="R574" s="82" t="s">
        <v>37</v>
      </c>
      <c r="T574" s="82" t="s">
        <v>435</v>
      </c>
      <c r="U574" s="97">
        <v>2002</v>
      </c>
      <c r="V574" s="97">
        <v>2002</v>
      </c>
      <c r="W574" s="97" t="s">
        <v>593</v>
      </c>
      <c r="X574" s="97"/>
      <c r="Y574" s="102" t="s">
        <v>4273</v>
      </c>
      <c r="Z574" s="102" t="s">
        <v>4274</v>
      </c>
    </row>
    <row r="575" spans="1:26" s="82" customFormat="1" ht="45" x14ac:dyDescent="0.25">
      <c r="A575" s="82" t="s">
        <v>4275</v>
      </c>
      <c r="B575" s="82" t="s">
        <v>4276</v>
      </c>
      <c r="C575" s="82" t="str">
        <f t="shared" si="19"/>
        <v>SC-134  - King's United Methodist Church (Laurel)</v>
      </c>
      <c r="D575" s="96" t="s">
        <v>4277</v>
      </c>
      <c r="E575" s="96" t="s">
        <v>29</v>
      </c>
      <c r="F575" s="97" t="s">
        <v>191</v>
      </c>
      <c r="G575" s="97"/>
      <c r="H575" s="96"/>
      <c r="I575" s="99" t="s">
        <v>4176</v>
      </c>
      <c r="J575" s="95">
        <v>21</v>
      </c>
      <c r="K575" s="95">
        <v>40</v>
      </c>
      <c r="L575" s="100" t="s">
        <v>4278</v>
      </c>
      <c r="M575" s="100" t="s">
        <v>4279</v>
      </c>
      <c r="N575" s="101" t="s">
        <v>4280</v>
      </c>
      <c r="O575" s="82" t="s">
        <v>3428</v>
      </c>
      <c r="P575" s="82">
        <v>19956</v>
      </c>
      <c r="R575" s="82" t="s">
        <v>37</v>
      </c>
      <c r="T575" s="82" t="s">
        <v>435</v>
      </c>
      <c r="U575" s="97">
        <v>2000</v>
      </c>
      <c r="V575" s="97">
        <v>2000</v>
      </c>
      <c r="W575" s="97" t="s">
        <v>593</v>
      </c>
      <c r="X575" s="97"/>
      <c r="Y575" s="102"/>
      <c r="Z575" s="102"/>
    </row>
    <row r="576" spans="1:26" s="82" customFormat="1" ht="45" x14ac:dyDescent="0.25">
      <c r="A576" s="82" t="s">
        <v>4281</v>
      </c>
      <c r="B576" s="82" t="s">
        <v>4282</v>
      </c>
      <c r="C576" s="82" t="str">
        <f t="shared" si="19"/>
        <v>SC-135  - St. George's Methodist Church (Delmar)</v>
      </c>
      <c r="D576" s="96" t="s">
        <v>4283</v>
      </c>
      <c r="E576" s="96" t="s">
        <v>29</v>
      </c>
      <c r="F576" s="97" t="s">
        <v>191</v>
      </c>
      <c r="G576" s="97"/>
      <c r="H576" s="96"/>
      <c r="I576" s="99"/>
      <c r="J576" s="95">
        <v>21</v>
      </c>
      <c r="K576" s="95">
        <v>40</v>
      </c>
      <c r="L576" s="100" t="s">
        <v>4284</v>
      </c>
      <c r="M576" s="100" t="s">
        <v>4285</v>
      </c>
      <c r="N576" s="101" t="s">
        <v>4286</v>
      </c>
      <c r="O576" s="82" t="s">
        <v>3448</v>
      </c>
      <c r="P576" s="82">
        <v>19940</v>
      </c>
      <c r="R576" s="82" t="s">
        <v>37</v>
      </c>
      <c r="S576" s="82" t="s">
        <v>4287</v>
      </c>
      <c r="T576" s="82" t="s">
        <v>435</v>
      </c>
      <c r="U576" s="97">
        <v>2000</v>
      </c>
      <c r="V576" s="97">
        <v>2000</v>
      </c>
      <c r="W576" s="97" t="s">
        <v>593</v>
      </c>
      <c r="X576" s="97"/>
      <c r="Y576" s="102"/>
      <c r="Z576" s="102"/>
    </row>
    <row r="577" spans="1:26" s="82" customFormat="1" ht="51" x14ac:dyDescent="0.25">
      <c r="A577" s="82" t="s">
        <v>4288</v>
      </c>
      <c r="B577" s="82" t="s">
        <v>4289</v>
      </c>
      <c r="C577" s="82" t="str">
        <f t="shared" si="19"/>
        <v>SC-136  - Grace United Methodist Church (Millsboro)</v>
      </c>
      <c r="D577" s="96" t="s">
        <v>4290</v>
      </c>
      <c r="E577" s="96" t="s">
        <v>130</v>
      </c>
      <c r="F577" s="97" t="s">
        <v>191</v>
      </c>
      <c r="G577" s="97"/>
      <c r="H577" s="96" t="s">
        <v>530</v>
      </c>
      <c r="I577" s="99" t="s">
        <v>4063</v>
      </c>
      <c r="J577" s="95">
        <v>20</v>
      </c>
      <c r="K577" s="95">
        <v>41</v>
      </c>
      <c r="L577" s="112">
        <v>38.590119999999999</v>
      </c>
      <c r="M577" s="112">
        <v>-75.290189999999996</v>
      </c>
      <c r="N577" s="101" t="s">
        <v>4291</v>
      </c>
      <c r="O577" s="101" t="s">
        <v>3671</v>
      </c>
      <c r="P577" s="82">
        <v>19966</v>
      </c>
      <c r="R577" s="82" t="s">
        <v>37</v>
      </c>
      <c r="T577" s="82" t="s">
        <v>435</v>
      </c>
      <c r="U577" s="97">
        <v>2000</v>
      </c>
      <c r="V577" s="97">
        <v>2000</v>
      </c>
      <c r="W577" s="97" t="s">
        <v>593</v>
      </c>
      <c r="X577" s="97"/>
      <c r="Y577" s="131" t="s">
        <v>4292</v>
      </c>
      <c r="Z577" s="102" t="s">
        <v>4293</v>
      </c>
    </row>
    <row r="578" spans="1:26" s="82" customFormat="1" ht="45" x14ac:dyDescent="0.25">
      <c r="A578" s="82" t="s">
        <v>4294</v>
      </c>
      <c r="B578" s="82" t="s">
        <v>4295</v>
      </c>
      <c r="C578" s="82" t="str">
        <f t="shared" si="19"/>
        <v>SC-137  - Frankford United Methodist Church</v>
      </c>
      <c r="D578" s="96" t="s">
        <v>3955</v>
      </c>
      <c r="E578" s="96" t="s">
        <v>29</v>
      </c>
      <c r="F578" s="97" t="s">
        <v>191</v>
      </c>
      <c r="G578" s="97"/>
      <c r="H578" s="96" t="s">
        <v>1375</v>
      </c>
      <c r="I578" s="99"/>
      <c r="J578" s="95">
        <v>20</v>
      </c>
      <c r="K578" s="95">
        <v>41</v>
      </c>
      <c r="L578" s="100" t="s">
        <v>4296</v>
      </c>
      <c r="M578" s="100" t="s">
        <v>4297</v>
      </c>
      <c r="N578" s="101" t="s">
        <v>4298</v>
      </c>
      <c r="O578" s="82" t="s">
        <v>3500</v>
      </c>
      <c r="P578" s="82">
        <v>19945</v>
      </c>
      <c r="R578" s="82" t="s">
        <v>37</v>
      </c>
      <c r="T578" s="82" t="s">
        <v>435</v>
      </c>
      <c r="U578" s="97">
        <v>2000</v>
      </c>
      <c r="V578" s="97">
        <v>2000</v>
      </c>
      <c r="W578" s="97" t="s">
        <v>593</v>
      </c>
      <c r="X578" s="97"/>
      <c r="Y578" s="103" t="s">
        <v>4299</v>
      </c>
      <c r="Z578" s="102" t="s">
        <v>4300</v>
      </c>
    </row>
    <row r="579" spans="1:26" s="82" customFormat="1" ht="51" x14ac:dyDescent="0.25">
      <c r="A579" s="82" t="s">
        <v>4301</v>
      </c>
      <c r="B579" s="82" t="s">
        <v>4302</v>
      </c>
      <c r="C579" s="82" t="str">
        <f t="shared" si="19"/>
        <v>SC-138  - Maull House</v>
      </c>
      <c r="D579" s="96" t="s">
        <v>4303</v>
      </c>
      <c r="E579" s="96" t="s">
        <v>29</v>
      </c>
      <c r="F579" s="97" t="s">
        <v>30</v>
      </c>
      <c r="G579" s="97"/>
      <c r="H579" s="96"/>
      <c r="I579" s="99"/>
      <c r="J579" s="95">
        <v>6</v>
      </c>
      <c r="K579" s="95">
        <v>20</v>
      </c>
      <c r="L579" s="113" t="s">
        <v>4304</v>
      </c>
      <c r="M579" s="112">
        <v>-75.153750000000002</v>
      </c>
      <c r="N579" s="101" t="s">
        <v>4305</v>
      </c>
      <c r="O579" s="82" t="s">
        <v>3548</v>
      </c>
      <c r="P579" s="82">
        <v>19958</v>
      </c>
      <c r="R579" s="82" t="s">
        <v>37</v>
      </c>
      <c r="T579" s="82" t="s">
        <v>435</v>
      </c>
      <c r="U579" s="97">
        <v>2000</v>
      </c>
      <c r="V579" s="97">
        <v>2000</v>
      </c>
      <c r="W579" s="97" t="s">
        <v>593</v>
      </c>
      <c r="X579" s="97"/>
      <c r="Y579" s="102" t="s">
        <v>4306</v>
      </c>
      <c r="Z579" s="102" t="s">
        <v>4307</v>
      </c>
    </row>
    <row r="580" spans="1:26" s="82" customFormat="1" ht="63.75" x14ac:dyDescent="0.25">
      <c r="A580" s="82" t="s">
        <v>4308</v>
      </c>
      <c r="B580" s="82" t="s">
        <v>4309</v>
      </c>
      <c r="C580" s="82" t="str">
        <f t="shared" si="19"/>
        <v>SC-139  - The Brick Hotel</v>
      </c>
      <c r="D580" s="96" t="s">
        <v>4310</v>
      </c>
      <c r="E580" s="96" t="s">
        <v>29</v>
      </c>
      <c r="F580" s="97" t="s">
        <v>30</v>
      </c>
      <c r="G580" s="97"/>
      <c r="H580" s="96" t="s">
        <v>1002</v>
      </c>
      <c r="I580" s="99" t="s">
        <v>301</v>
      </c>
      <c r="J580" s="95">
        <v>19</v>
      </c>
      <c r="K580" s="95">
        <v>37</v>
      </c>
      <c r="L580" s="100" t="s">
        <v>4311</v>
      </c>
      <c r="M580" s="100" t="s">
        <v>4312</v>
      </c>
      <c r="N580" s="101" t="s">
        <v>3800</v>
      </c>
      <c r="O580" s="82" t="s">
        <v>3471</v>
      </c>
      <c r="P580" s="82">
        <v>19947</v>
      </c>
      <c r="R580" s="82" t="s">
        <v>37</v>
      </c>
      <c r="S580" s="82" t="s">
        <v>4313</v>
      </c>
      <c r="T580" s="82" t="s">
        <v>435</v>
      </c>
      <c r="U580" s="97">
        <v>2000</v>
      </c>
      <c r="V580" s="97">
        <v>2000</v>
      </c>
      <c r="W580" s="97" t="s">
        <v>593</v>
      </c>
      <c r="X580" s="97"/>
      <c r="Y580" s="165" t="s">
        <v>4314</v>
      </c>
      <c r="Z580" s="102" t="s">
        <v>4315</v>
      </c>
    </row>
    <row r="581" spans="1:26" s="82" customFormat="1" ht="30" x14ac:dyDescent="0.25">
      <c r="A581" s="7" t="s">
        <v>4316</v>
      </c>
      <c r="B581" s="7" t="s">
        <v>5338</v>
      </c>
      <c r="C581" s="7" t="str">
        <f t="shared" si="19"/>
        <v>SC-140  - Greenwood School 222-C</v>
      </c>
      <c r="D581" s="24"/>
      <c r="E581" s="24" t="s">
        <v>1070</v>
      </c>
      <c r="F581" s="54" t="s">
        <v>5339</v>
      </c>
      <c r="G581" s="54" t="s">
        <v>293</v>
      </c>
      <c r="H581" s="24"/>
      <c r="I581" s="29"/>
      <c r="J581" s="53"/>
      <c r="K581" s="53"/>
      <c r="L581" s="56"/>
      <c r="M581" s="56"/>
      <c r="N581" s="57"/>
      <c r="O581" s="7"/>
      <c r="P581" s="7"/>
      <c r="Q581" s="7"/>
      <c r="R581" s="7" t="s">
        <v>37</v>
      </c>
      <c r="S581" s="7"/>
      <c r="T581" s="7"/>
      <c r="U581" s="54"/>
      <c r="V581" s="54"/>
      <c r="W581" s="54"/>
      <c r="X581" s="54"/>
      <c r="Y581" s="4"/>
      <c r="Z581" s="4"/>
    </row>
    <row r="582" spans="1:26" s="82" customFormat="1" ht="45" x14ac:dyDescent="0.25">
      <c r="A582" s="82" t="s">
        <v>4318</v>
      </c>
      <c r="B582" s="82" t="s">
        <v>4319</v>
      </c>
      <c r="C582" s="82" t="str">
        <f t="shared" si="19"/>
        <v>SC-141  - Jones Cemetery</v>
      </c>
      <c r="D582" s="96" t="s">
        <v>4320</v>
      </c>
      <c r="E582" s="96" t="s">
        <v>29</v>
      </c>
      <c r="F582" s="97" t="s">
        <v>30</v>
      </c>
      <c r="G582" s="97"/>
      <c r="H582" s="96" t="s">
        <v>2824</v>
      </c>
      <c r="I582" s="99" t="s">
        <v>301</v>
      </c>
      <c r="J582" s="95">
        <v>21</v>
      </c>
      <c r="K582" s="95">
        <v>41</v>
      </c>
      <c r="L582" s="100" t="s">
        <v>4321</v>
      </c>
      <c r="M582" s="100" t="s">
        <v>4322</v>
      </c>
      <c r="N582" s="101" t="s">
        <v>4323</v>
      </c>
      <c r="O582" s="82" t="s">
        <v>3671</v>
      </c>
      <c r="P582" s="82">
        <v>19966</v>
      </c>
      <c r="R582" s="82" t="s">
        <v>37</v>
      </c>
      <c r="T582" s="82" t="s">
        <v>38</v>
      </c>
      <c r="U582" s="97">
        <v>2001</v>
      </c>
      <c r="V582" s="97">
        <v>2001</v>
      </c>
      <c r="W582" s="97" t="s">
        <v>39</v>
      </c>
      <c r="X582" s="97"/>
      <c r="Y582" s="165" t="s">
        <v>4324</v>
      </c>
      <c r="Z582" s="102" t="s">
        <v>4325</v>
      </c>
    </row>
    <row r="583" spans="1:26" s="82" customFormat="1" ht="45" x14ac:dyDescent="0.25">
      <c r="A583" s="82" t="s">
        <v>4326</v>
      </c>
      <c r="B583" s="82" t="s">
        <v>4327</v>
      </c>
      <c r="C583" s="82" t="str">
        <f t="shared" si="19"/>
        <v>SC-142  - Grace United Methodist Church (Georgetown)</v>
      </c>
      <c r="D583" s="84" t="s">
        <v>4078</v>
      </c>
      <c r="E583" s="84" t="s">
        <v>29</v>
      </c>
      <c r="F583" s="85" t="s">
        <v>191</v>
      </c>
      <c r="G583" s="85"/>
      <c r="H583" s="84" t="s">
        <v>4328</v>
      </c>
      <c r="I583" s="86" t="s">
        <v>4063</v>
      </c>
      <c r="J583" s="83">
        <v>19</v>
      </c>
      <c r="K583" s="83">
        <v>37</v>
      </c>
      <c r="L583" s="87" t="s">
        <v>4329</v>
      </c>
      <c r="M583" s="87" t="s">
        <v>4330</v>
      </c>
      <c r="N583" s="88" t="s">
        <v>4331</v>
      </c>
      <c r="O583" s="81" t="s">
        <v>3471</v>
      </c>
      <c r="P583" s="81">
        <v>19947</v>
      </c>
      <c r="Q583" s="81"/>
      <c r="R583" s="81" t="s">
        <v>37</v>
      </c>
      <c r="S583" s="81"/>
      <c r="T583" s="81" t="s">
        <v>38</v>
      </c>
      <c r="U583" s="85">
        <v>2001</v>
      </c>
      <c r="V583" s="85">
        <v>2001</v>
      </c>
      <c r="W583" s="85" t="s">
        <v>39</v>
      </c>
      <c r="X583" s="85"/>
      <c r="Y583" s="131" t="s">
        <v>4332</v>
      </c>
      <c r="Z583" s="89" t="s">
        <v>4333</v>
      </c>
    </row>
    <row r="584" spans="1:26" s="82" customFormat="1" ht="45" x14ac:dyDescent="0.25">
      <c r="A584" s="82" t="s">
        <v>4334</v>
      </c>
      <c r="B584" s="82" t="s">
        <v>4335</v>
      </c>
      <c r="C584" s="82" t="str">
        <f t="shared" si="19"/>
        <v>SC-143  - Shipbuilding on the Broadkill</v>
      </c>
      <c r="D584" s="96" t="s">
        <v>4336</v>
      </c>
      <c r="E584" s="96" t="s">
        <v>29</v>
      </c>
      <c r="F584" s="97" t="s">
        <v>42</v>
      </c>
      <c r="G584" s="97"/>
      <c r="H584" s="96" t="s">
        <v>92</v>
      </c>
      <c r="I584" s="99" t="s">
        <v>4139</v>
      </c>
      <c r="J584" s="95">
        <v>6</v>
      </c>
      <c r="K584" s="95">
        <v>20</v>
      </c>
      <c r="L584" s="100" t="s">
        <v>4337</v>
      </c>
      <c r="M584" s="100" t="s">
        <v>4338</v>
      </c>
      <c r="N584" s="101" t="s">
        <v>4339</v>
      </c>
      <c r="O584" s="101" t="s">
        <v>3534</v>
      </c>
      <c r="P584" s="82">
        <v>19968</v>
      </c>
      <c r="Q584" s="82" t="s">
        <v>4340</v>
      </c>
      <c r="R584" s="82" t="s">
        <v>37</v>
      </c>
      <c r="T584" s="82" t="s">
        <v>435</v>
      </c>
      <c r="U584" s="97">
        <v>2001</v>
      </c>
      <c r="V584" s="97">
        <v>2001</v>
      </c>
      <c r="W584" s="97" t="s">
        <v>593</v>
      </c>
      <c r="X584" s="97"/>
      <c r="Y584" s="102" t="s">
        <v>4341</v>
      </c>
      <c r="Z584" s="102" t="s">
        <v>3754</v>
      </c>
    </row>
    <row r="585" spans="1:26" s="82" customFormat="1" ht="45" x14ac:dyDescent="0.25">
      <c r="A585" s="82" t="s">
        <v>4342</v>
      </c>
      <c r="B585" s="82" t="s">
        <v>4343</v>
      </c>
      <c r="C585" s="82" t="str">
        <f t="shared" si="19"/>
        <v>SC-144  - Ships and Men</v>
      </c>
      <c r="D585" s="96" t="s">
        <v>4336</v>
      </c>
      <c r="E585" s="96" t="s">
        <v>346</v>
      </c>
      <c r="F585" s="97" t="s">
        <v>42</v>
      </c>
      <c r="G585" s="97"/>
      <c r="H585" s="96"/>
      <c r="I585" s="99" t="s">
        <v>4139</v>
      </c>
      <c r="J585" s="95">
        <v>6</v>
      </c>
      <c r="K585" s="95">
        <v>20</v>
      </c>
      <c r="L585" s="100" t="s">
        <v>4344</v>
      </c>
      <c r="M585" s="100" t="s">
        <v>4345</v>
      </c>
      <c r="N585" s="101" t="s">
        <v>4339</v>
      </c>
      <c r="O585" s="82" t="s">
        <v>3534</v>
      </c>
      <c r="P585" s="82">
        <v>19968</v>
      </c>
      <c r="Q585" s="82" t="s">
        <v>4340</v>
      </c>
      <c r="R585" s="82" t="s">
        <v>37</v>
      </c>
      <c r="T585" s="82" t="s">
        <v>435</v>
      </c>
      <c r="U585" s="97">
        <v>2001</v>
      </c>
      <c r="V585" s="97">
        <v>2001</v>
      </c>
      <c r="W585" s="97" t="s">
        <v>593</v>
      </c>
      <c r="X585" s="97"/>
      <c r="Y585" s="102" t="s">
        <v>4346</v>
      </c>
      <c r="Z585" s="102" t="s">
        <v>4347</v>
      </c>
    </row>
    <row r="586" spans="1:26" s="82" customFormat="1" ht="60" x14ac:dyDescent="0.25">
      <c r="A586" s="82" t="s">
        <v>4348</v>
      </c>
      <c r="B586" s="82" t="s">
        <v>4349</v>
      </c>
      <c r="C586" s="82" t="str">
        <f t="shared" si="19"/>
        <v>SC-145  - Christ United Methodist Church (Laurel)</v>
      </c>
      <c r="D586" s="115" t="s">
        <v>4350</v>
      </c>
      <c r="E586" s="96" t="s">
        <v>29</v>
      </c>
      <c r="F586" s="97" t="s">
        <v>191</v>
      </c>
      <c r="G586" s="97"/>
      <c r="H586" s="96" t="s">
        <v>442</v>
      </c>
      <c r="I586" s="99"/>
      <c r="J586" s="95">
        <v>21</v>
      </c>
      <c r="K586" s="95">
        <v>40</v>
      </c>
      <c r="L586" s="100" t="s">
        <v>3725</v>
      </c>
      <c r="M586" s="100" t="s">
        <v>4351</v>
      </c>
      <c r="N586" s="101" t="s">
        <v>4352</v>
      </c>
      <c r="O586" s="82" t="s">
        <v>3428</v>
      </c>
      <c r="P586" s="82">
        <v>19956</v>
      </c>
      <c r="R586" s="82" t="s">
        <v>37</v>
      </c>
      <c r="S586" s="82" t="s">
        <v>4353</v>
      </c>
      <c r="T586" s="82" t="s">
        <v>38</v>
      </c>
      <c r="U586" s="97">
        <v>2001</v>
      </c>
      <c r="V586" s="97">
        <v>2001</v>
      </c>
      <c r="W586" s="97" t="s">
        <v>39</v>
      </c>
      <c r="X586" s="98">
        <v>44728</v>
      </c>
      <c r="Y586" s="102" t="s">
        <v>4354</v>
      </c>
      <c r="Z586" s="102" t="s">
        <v>4355</v>
      </c>
    </row>
    <row r="587" spans="1:26" s="82" customFormat="1" ht="30" x14ac:dyDescent="0.25">
      <c r="A587" s="7" t="s">
        <v>4356</v>
      </c>
      <c r="B587" s="7" t="s">
        <v>4357</v>
      </c>
      <c r="C587" s="7" t="str">
        <f t="shared" si="19"/>
        <v>SC-146 - New Zion UMC</v>
      </c>
      <c r="D587" s="24"/>
      <c r="E587" s="24" t="s">
        <v>1070</v>
      </c>
      <c r="F587" s="2" t="s">
        <v>191</v>
      </c>
      <c r="G587" s="2" t="s">
        <v>293</v>
      </c>
      <c r="H587" s="117"/>
      <c r="I587" s="204" t="s">
        <v>4358</v>
      </c>
      <c r="J587" s="204"/>
      <c r="K587" s="25"/>
      <c r="L587" s="26"/>
      <c r="M587" s="26"/>
      <c r="N587" s="32"/>
      <c r="O587" s="1"/>
      <c r="P587" s="1"/>
      <c r="Q587" s="1"/>
      <c r="R587" s="1" t="s">
        <v>37</v>
      </c>
      <c r="S587" s="1"/>
      <c r="T587" s="1"/>
      <c r="U587" s="2"/>
      <c r="V587" s="2"/>
      <c r="W587" s="2"/>
      <c r="X587" s="2"/>
      <c r="Y587" s="4"/>
      <c r="Z587" s="4"/>
    </row>
    <row r="588" spans="1:26" s="82" customFormat="1" ht="45" x14ac:dyDescent="0.25">
      <c r="A588" s="82" t="s">
        <v>4359</v>
      </c>
      <c r="B588" s="82" t="s">
        <v>4360</v>
      </c>
      <c r="C588" s="82" t="str">
        <f t="shared" si="19"/>
        <v>SC-147  - Macedonia AME Church</v>
      </c>
      <c r="D588" s="96" t="s">
        <v>4361</v>
      </c>
      <c r="E588" s="96" t="s">
        <v>29</v>
      </c>
      <c r="F588" s="97" t="s">
        <v>191</v>
      </c>
      <c r="G588" s="97" t="s">
        <v>293</v>
      </c>
      <c r="H588" s="96" t="s">
        <v>206</v>
      </c>
      <c r="I588" s="99" t="s">
        <v>4362</v>
      </c>
      <c r="J588" s="95">
        <v>21</v>
      </c>
      <c r="K588" s="95">
        <v>39</v>
      </c>
      <c r="L588" s="100" t="s">
        <v>4363</v>
      </c>
      <c r="M588" s="100" t="s">
        <v>4364</v>
      </c>
      <c r="N588" s="101" t="s">
        <v>4365</v>
      </c>
      <c r="O588" s="82" t="s">
        <v>3407</v>
      </c>
      <c r="P588" s="82">
        <v>19973</v>
      </c>
      <c r="R588" s="82" t="s">
        <v>37</v>
      </c>
      <c r="T588" s="82" t="s">
        <v>435</v>
      </c>
      <c r="U588" s="97">
        <v>2001</v>
      </c>
      <c r="V588" s="97">
        <v>2001</v>
      </c>
      <c r="W588" s="97" t="s">
        <v>593</v>
      </c>
      <c r="X588" s="97"/>
      <c r="Y588" s="102" t="s">
        <v>4366</v>
      </c>
      <c r="Z588" s="102" t="s">
        <v>4367</v>
      </c>
    </row>
    <row r="589" spans="1:26" s="82" customFormat="1" ht="51" x14ac:dyDescent="0.25">
      <c r="A589" s="82" t="s">
        <v>4368</v>
      </c>
      <c r="B589" s="82" t="s">
        <v>4369</v>
      </c>
      <c r="C589" s="82" t="str">
        <f t="shared" si="19"/>
        <v>SC-148  - Indian River Inlet Life-Saving Station</v>
      </c>
      <c r="D589" s="96" t="s">
        <v>4370</v>
      </c>
      <c r="E589" s="96" t="s">
        <v>29</v>
      </c>
      <c r="F589" s="97" t="s">
        <v>30</v>
      </c>
      <c r="G589" s="97"/>
      <c r="H589" s="96" t="s">
        <v>442</v>
      </c>
      <c r="I589" s="99" t="s">
        <v>4371</v>
      </c>
      <c r="J589" s="95">
        <v>20</v>
      </c>
      <c r="K589" s="95">
        <v>41</v>
      </c>
      <c r="L589" s="100" t="s">
        <v>4372</v>
      </c>
      <c r="M589" s="100" t="s">
        <v>4373</v>
      </c>
      <c r="N589" s="101" t="s">
        <v>4374</v>
      </c>
      <c r="O589" s="82" t="s">
        <v>3671</v>
      </c>
      <c r="P589" s="82">
        <v>19966</v>
      </c>
      <c r="R589" s="82" t="s">
        <v>37</v>
      </c>
      <c r="S589" s="82" t="s">
        <v>4375</v>
      </c>
      <c r="T589" s="82" t="s">
        <v>38</v>
      </c>
      <c r="U589" s="97" t="s">
        <v>4376</v>
      </c>
      <c r="V589" s="97">
        <v>2001</v>
      </c>
      <c r="W589" s="97" t="s">
        <v>39</v>
      </c>
      <c r="X589" s="97">
        <v>2021</v>
      </c>
      <c r="Y589" s="102" t="s">
        <v>4377</v>
      </c>
      <c r="Z589" s="102" t="s">
        <v>4378</v>
      </c>
    </row>
    <row r="590" spans="1:26" s="68" customFormat="1" ht="38.25" x14ac:dyDescent="0.25">
      <c r="A590" s="181" t="s">
        <v>4379</v>
      </c>
      <c r="B590" s="181" t="s">
        <v>4380</v>
      </c>
      <c r="C590" s="181" t="str">
        <f t="shared" si="19"/>
        <v>SC-149  - St. Johnstown Methodist Church</v>
      </c>
      <c r="D590" s="200" t="s">
        <v>4381</v>
      </c>
      <c r="E590" s="200" t="s">
        <v>29</v>
      </c>
      <c r="F590" s="202" t="s">
        <v>191</v>
      </c>
      <c r="G590" s="202"/>
      <c r="H590" s="200"/>
      <c r="I590" s="203"/>
      <c r="J590" s="201">
        <v>18</v>
      </c>
      <c r="K590" s="201">
        <v>35</v>
      </c>
      <c r="L590" s="211">
        <v>38.801990000000004</v>
      </c>
      <c r="M590" s="205">
        <v>-75.574370000000002</v>
      </c>
      <c r="N590" s="206" t="s">
        <v>4382</v>
      </c>
      <c r="O590" s="181" t="s">
        <v>460</v>
      </c>
      <c r="P590" s="181">
        <v>19950</v>
      </c>
      <c r="Q590" s="181"/>
      <c r="R590" s="181" t="s">
        <v>37</v>
      </c>
      <c r="S590" s="181"/>
      <c r="T590" s="181" t="s">
        <v>435</v>
      </c>
      <c r="U590" s="202">
        <v>2000</v>
      </c>
      <c r="V590" s="207">
        <v>44876</v>
      </c>
      <c r="W590" s="202" t="s">
        <v>593</v>
      </c>
      <c r="X590" s="202"/>
      <c r="Y590" s="209"/>
      <c r="Z590" s="209"/>
    </row>
    <row r="591" spans="1:26" s="82" customFormat="1" ht="48" customHeight="1" x14ac:dyDescent="0.25">
      <c r="A591" s="82" t="s">
        <v>4383</v>
      </c>
      <c r="B591" s="82" t="s">
        <v>4384</v>
      </c>
      <c r="C591" s="82" t="str">
        <f t="shared" si="19"/>
        <v>SC-150  - Mount Pleasant Methodist Church</v>
      </c>
      <c r="D591" s="115" t="s">
        <v>4385</v>
      </c>
      <c r="E591" s="96" t="s">
        <v>346</v>
      </c>
      <c r="F591" s="97" t="s">
        <v>191</v>
      </c>
      <c r="G591" s="97"/>
      <c r="H591" s="96" t="s">
        <v>628</v>
      </c>
      <c r="I591" s="99" t="s">
        <v>301</v>
      </c>
      <c r="J591" s="95">
        <v>21</v>
      </c>
      <c r="K591" s="95">
        <v>40</v>
      </c>
      <c r="L591" s="100" t="s">
        <v>4386</v>
      </c>
      <c r="M591" s="100" t="s">
        <v>4387</v>
      </c>
      <c r="N591" s="101" t="s">
        <v>4388</v>
      </c>
      <c r="O591" s="82" t="s">
        <v>3428</v>
      </c>
      <c r="P591" s="82">
        <v>19956</v>
      </c>
      <c r="R591" s="82" t="s">
        <v>37</v>
      </c>
      <c r="T591" s="82" t="s">
        <v>435</v>
      </c>
      <c r="U591" s="97">
        <v>2001</v>
      </c>
      <c r="V591" s="97">
        <v>2001</v>
      </c>
      <c r="W591" s="97" t="s">
        <v>593</v>
      </c>
      <c r="X591" s="97"/>
      <c r="Y591" s="102" t="s">
        <v>4389</v>
      </c>
      <c r="Z591" s="102" t="s">
        <v>4390</v>
      </c>
    </row>
    <row r="592" spans="1:26" s="81" customFormat="1" ht="45" x14ac:dyDescent="0.25">
      <c r="A592" s="82" t="s">
        <v>4391</v>
      </c>
      <c r="B592" s="82" t="s">
        <v>4392</v>
      </c>
      <c r="C592" s="82" t="str">
        <f t="shared" si="19"/>
        <v>SC-151  - Cokesbury Church</v>
      </c>
      <c r="D592" s="96" t="s">
        <v>4393</v>
      </c>
      <c r="E592" s="96" t="s">
        <v>29</v>
      </c>
      <c r="F592" s="97" t="s">
        <v>191</v>
      </c>
      <c r="G592" s="97"/>
      <c r="H592" s="96"/>
      <c r="I592" s="99" t="s">
        <v>4394</v>
      </c>
      <c r="J592" s="95">
        <v>19</v>
      </c>
      <c r="K592" s="95">
        <v>37</v>
      </c>
      <c r="L592" s="100" t="s">
        <v>4395</v>
      </c>
      <c r="M592" s="100" t="s">
        <v>4396</v>
      </c>
      <c r="N592" s="101" t="s">
        <v>4397</v>
      </c>
      <c r="O592" s="82" t="s">
        <v>3471</v>
      </c>
      <c r="P592" s="82">
        <v>19947</v>
      </c>
      <c r="Q592" s="82"/>
      <c r="R592" s="82" t="s">
        <v>37</v>
      </c>
      <c r="S592" s="82"/>
      <c r="T592" s="82" t="s">
        <v>38</v>
      </c>
      <c r="U592" s="97">
        <v>2001</v>
      </c>
      <c r="V592" s="97">
        <v>2001</v>
      </c>
      <c r="W592" s="97" t="s">
        <v>39</v>
      </c>
      <c r="X592" s="97"/>
      <c r="Y592" s="102" t="s">
        <v>4398</v>
      </c>
      <c r="Z592" s="102" t="s">
        <v>4399</v>
      </c>
    </row>
    <row r="593" spans="1:26" s="82" customFormat="1" ht="51" x14ac:dyDescent="0.25">
      <c r="A593" s="82" t="s">
        <v>4400</v>
      </c>
      <c r="B593" s="82" t="s">
        <v>4401</v>
      </c>
      <c r="C593" s="82" t="str">
        <f t="shared" si="19"/>
        <v>SC-152  - Goshen United Methodist Church (Milton)</v>
      </c>
      <c r="D593" s="115" t="s">
        <v>4402</v>
      </c>
      <c r="E593" s="96" t="s">
        <v>29</v>
      </c>
      <c r="F593" s="97" t="s">
        <v>191</v>
      </c>
      <c r="G593" s="97"/>
      <c r="H593" s="96"/>
      <c r="I593" s="99" t="s">
        <v>4139</v>
      </c>
      <c r="J593" s="95">
        <v>6</v>
      </c>
      <c r="K593" s="95">
        <v>20</v>
      </c>
      <c r="L593" s="100" t="s">
        <v>4403</v>
      </c>
      <c r="M593" s="100" t="s">
        <v>4404</v>
      </c>
      <c r="N593" s="101" t="s">
        <v>4405</v>
      </c>
      <c r="O593" s="82" t="s">
        <v>3534</v>
      </c>
      <c r="P593" s="82">
        <v>19968</v>
      </c>
      <c r="R593" s="82" t="s">
        <v>37</v>
      </c>
      <c r="T593" s="82" t="s">
        <v>435</v>
      </c>
      <c r="U593" s="97">
        <v>2001</v>
      </c>
      <c r="V593" s="98">
        <v>37213</v>
      </c>
      <c r="W593" s="97" t="s">
        <v>593</v>
      </c>
      <c r="X593" s="97"/>
      <c r="Y593" s="102" t="s">
        <v>4406</v>
      </c>
      <c r="Z593" s="102" t="s">
        <v>4407</v>
      </c>
    </row>
    <row r="594" spans="1:26" s="82" customFormat="1" ht="38.25" x14ac:dyDescent="0.25">
      <c r="A594" s="82" t="s">
        <v>4408</v>
      </c>
      <c r="B594" s="82" t="s">
        <v>4409</v>
      </c>
      <c r="C594" s="82" t="str">
        <f t="shared" ref="C594:C625" si="20">A594 &amp; " - " &amp; B594</f>
        <v>SC-153  - Milton Fire Department, Inc.</v>
      </c>
      <c r="D594" s="96" t="s">
        <v>4410</v>
      </c>
      <c r="E594" s="96" t="s">
        <v>29</v>
      </c>
      <c r="F594" s="97" t="s">
        <v>30</v>
      </c>
      <c r="G594" s="97"/>
      <c r="H594" s="96"/>
      <c r="I594" s="99" t="s">
        <v>4139</v>
      </c>
      <c r="J594" s="95">
        <v>6</v>
      </c>
      <c r="K594" s="95">
        <v>20</v>
      </c>
      <c r="L594" s="100" t="s">
        <v>4411</v>
      </c>
      <c r="M594" s="100" t="s">
        <v>4412</v>
      </c>
      <c r="N594" s="101" t="s">
        <v>4413</v>
      </c>
      <c r="O594" s="82" t="s">
        <v>3534</v>
      </c>
      <c r="P594" s="82">
        <v>19968</v>
      </c>
      <c r="R594" s="82" t="s">
        <v>37</v>
      </c>
      <c r="T594" s="82" t="s">
        <v>435</v>
      </c>
      <c r="U594" s="97">
        <v>2001</v>
      </c>
      <c r="V594" s="97">
        <v>2001</v>
      </c>
      <c r="W594" s="97" t="s">
        <v>593</v>
      </c>
      <c r="X594" s="97">
        <v>2021</v>
      </c>
      <c r="Y594" s="102"/>
      <c r="Z594" s="102"/>
    </row>
    <row r="595" spans="1:26" s="82" customFormat="1" ht="45" x14ac:dyDescent="0.25">
      <c r="A595" s="82" t="s">
        <v>4414</v>
      </c>
      <c r="B595" s="82" t="s">
        <v>4415</v>
      </c>
      <c r="C595" s="82" t="str">
        <f t="shared" si="20"/>
        <v>SC-154  - Home of John G. Townsend Jr.</v>
      </c>
      <c r="D595" s="96" t="s">
        <v>4416</v>
      </c>
      <c r="E595" s="96" t="s">
        <v>29</v>
      </c>
      <c r="F595" s="97" t="s">
        <v>62</v>
      </c>
      <c r="G595" s="97"/>
      <c r="H595" s="96" t="s">
        <v>522</v>
      </c>
      <c r="I595" s="99"/>
      <c r="J595" s="95">
        <v>20</v>
      </c>
      <c r="K595" s="95">
        <v>41</v>
      </c>
      <c r="L595" s="100" t="s">
        <v>4417</v>
      </c>
      <c r="M595" s="100" t="s">
        <v>4418</v>
      </c>
      <c r="N595" s="101" t="s">
        <v>4419</v>
      </c>
      <c r="O595" s="82" t="s">
        <v>3514</v>
      </c>
      <c r="P595" s="82">
        <v>19975</v>
      </c>
      <c r="R595" s="82" t="s">
        <v>37</v>
      </c>
      <c r="T595" s="82" t="s">
        <v>435</v>
      </c>
      <c r="U595" s="97">
        <v>2002</v>
      </c>
      <c r="V595" s="97">
        <v>2002</v>
      </c>
      <c r="W595" s="97" t="s">
        <v>593</v>
      </c>
      <c r="X595" s="97"/>
      <c r="Y595" s="102" t="s">
        <v>4420</v>
      </c>
      <c r="Z595" s="102" t="s">
        <v>4421</v>
      </c>
    </row>
    <row r="596" spans="1:26" s="63" customFormat="1" ht="38.25" x14ac:dyDescent="0.25">
      <c r="A596" s="181" t="s">
        <v>4422</v>
      </c>
      <c r="B596" s="181" t="s">
        <v>4423</v>
      </c>
      <c r="C596" s="181" t="str">
        <f t="shared" si="20"/>
        <v>SC-155  - Old Seaford Post Office</v>
      </c>
      <c r="D596" s="200" t="s">
        <v>4424</v>
      </c>
      <c r="E596" s="200" t="s">
        <v>130</v>
      </c>
      <c r="F596" s="202" t="s">
        <v>30</v>
      </c>
      <c r="G596" s="202"/>
      <c r="H596" s="200"/>
      <c r="I596" s="203" t="s">
        <v>4362</v>
      </c>
      <c r="J596" s="201">
        <v>21</v>
      </c>
      <c r="K596" s="201">
        <v>39</v>
      </c>
      <c r="L596" s="205">
        <v>38.64049</v>
      </c>
      <c r="M596" s="205">
        <v>-75.613159999999993</v>
      </c>
      <c r="N596" s="206" t="s">
        <v>4425</v>
      </c>
      <c r="O596" s="206" t="s">
        <v>3407</v>
      </c>
      <c r="P596" s="181">
        <v>19973</v>
      </c>
      <c r="Q596" s="181"/>
      <c r="R596" s="181" t="s">
        <v>37</v>
      </c>
      <c r="S596" s="181"/>
      <c r="T596" s="181" t="s">
        <v>435</v>
      </c>
      <c r="U596" s="202">
        <v>2002</v>
      </c>
      <c r="V596" s="202">
        <v>2002</v>
      </c>
      <c r="W596" s="202" t="s">
        <v>593</v>
      </c>
      <c r="X596" s="202"/>
      <c r="Y596" s="209"/>
      <c r="Z596" s="209"/>
    </row>
    <row r="597" spans="1:26" s="82" customFormat="1" ht="45" x14ac:dyDescent="0.25">
      <c r="A597" s="82" t="s">
        <v>4426</v>
      </c>
      <c r="B597" s="82" t="s">
        <v>4427</v>
      </c>
      <c r="C597" s="82" t="str">
        <f t="shared" si="20"/>
        <v>SC-156  - St. John the Baptist Episcopal Church (Milton)</v>
      </c>
      <c r="D597" s="96" t="s">
        <v>4428</v>
      </c>
      <c r="E597" s="96" t="s">
        <v>29</v>
      </c>
      <c r="F597" s="97" t="s">
        <v>191</v>
      </c>
      <c r="G597" s="97"/>
      <c r="H597" s="96" t="s">
        <v>84</v>
      </c>
      <c r="I597" s="99" t="s">
        <v>4429</v>
      </c>
      <c r="J597" s="95">
        <v>6</v>
      </c>
      <c r="K597" s="95">
        <v>20</v>
      </c>
      <c r="L597" s="100">
        <v>38.77543</v>
      </c>
      <c r="M597" s="100" t="s">
        <v>4430</v>
      </c>
      <c r="N597" s="101" t="s">
        <v>4431</v>
      </c>
      <c r="O597" s="82" t="s">
        <v>3534</v>
      </c>
      <c r="P597" s="82">
        <v>19968</v>
      </c>
      <c r="R597" s="82" t="s">
        <v>37</v>
      </c>
      <c r="S597" s="82" t="s">
        <v>1965</v>
      </c>
      <c r="T597" s="82" t="s">
        <v>38</v>
      </c>
      <c r="U597" s="97" t="s">
        <v>4432</v>
      </c>
      <c r="V597" s="97">
        <v>2002</v>
      </c>
      <c r="W597" s="97" t="s">
        <v>39</v>
      </c>
      <c r="X597" s="97">
        <v>2025</v>
      </c>
      <c r="Y597" s="103" t="s">
        <v>4433</v>
      </c>
      <c r="Z597" s="102" t="s">
        <v>4434</v>
      </c>
    </row>
    <row r="598" spans="1:26" s="82" customFormat="1" ht="45" x14ac:dyDescent="0.25">
      <c r="A598" s="82" t="s">
        <v>4435</v>
      </c>
      <c r="B598" s="82" t="s">
        <v>4436</v>
      </c>
      <c r="C598" s="82" t="str">
        <f t="shared" si="20"/>
        <v>SC-157  - Lewes Presbyterian Church and Cemetery</v>
      </c>
      <c r="D598" s="96" t="s">
        <v>4437</v>
      </c>
      <c r="E598" s="96" t="s">
        <v>29</v>
      </c>
      <c r="F598" s="97" t="s">
        <v>191</v>
      </c>
      <c r="G598" s="97"/>
      <c r="H598" s="96"/>
      <c r="I598" s="99" t="s">
        <v>4438</v>
      </c>
      <c r="J598" s="95">
        <v>6</v>
      </c>
      <c r="K598" s="95">
        <v>20</v>
      </c>
      <c r="L598" s="113">
        <v>38.772460000000002</v>
      </c>
      <c r="M598" s="112">
        <v>-75.13937</v>
      </c>
      <c r="N598" s="101" t="s">
        <v>4439</v>
      </c>
      <c r="O598" s="82" t="s">
        <v>3548</v>
      </c>
      <c r="P598" s="82">
        <v>19958</v>
      </c>
      <c r="R598" s="82" t="s">
        <v>4440</v>
      </c>
      <c r="S598" s="82" t="s">
        <v>1965</v>
      </c>
      <c r="T598" s="82" t="s">
        <v>38</v>
      </c>
      <c r="U598" s="97" t="s">
        <v>4432</v>
      </c>
      <c r="V598" s="97">
        <v>2002</v>
      </c>
      <c r="W598" s="97" t="s">
        <v>39</v>
      </c>
      <c r="X598" s="97">
        <v>2025</v>
      </c>
      <c r="Y598" s="102" t="s">
        <v>4441</v>
      </c>
      <c r="Z598" s="102" t="s">
        <v>4442</v>
      </c>
    </row>
    <row r="599" spans="1:26" s="82" customFormat="1" ht="45" x14ac:dyDescent="0.25">
      <c r="A599" s="82" t="s">
        <v>4443</v>
      </c>
      <c r="B599" s="82" t="s">
        <v>4444</v>
      </c>
      <c r="C599" s="82" t="str">
        <f t="shared" si="20"/>
        <v>SC-158  - Bethany Beach Loop Canal</v>
      </c>
      <c r="D599" s="96" t="s">
        <v>3815</v>
      </c>
      <c r="E599" s="96" t="s">
        <v>29</v>
      </c>
      <c r="F599" s="97" t="s">
        <v>30</v>
      </c>
      <c r="G599" s="97"/>
      <c r="H599" s="96" t="s">
        <v>3171</v>
      </c>
      <c r="I599" s="99" t="s">
        <v>4169</v>
      </c>
      <c r="J599" s="95">
        <v>20</v>
      </c>
      <c r="K599" s="95">
        <v>38</v>
      </c>
      <c r="L599" s="100" t="s">
        <v>4445</v>
      </c>
      <c r="M599" s="100" t="s">
        <v>4446</v>
      </c>
      <c r="N599" s="101" t="s">
        <v>4447</v>
      </c>
      <c r="O599" s="82" t="s">
        <v>4448</v>
      </c>
      <c r="P599" s="82">
        <v>19930</v>
      </c>
      <c r="R599" s="82" t="s">
        <v>37</v>
      </c>
      <c r="T599" s="82" t="s">
        <v>435</v>
      </c>
      <c r="U599" s="185">
        <v>2022</v>
      </c>
      <c r="V599" s="98">
        <v>37448</v>
      </c>
      <c r="W599" s="97" t="s">
        <v>593</v>
      </c>
      <c r="X599" s="185" t="s">
        <v>4449</v>
      </c>
      <c r="Y599" s="102" t="s">
        <v>4450</v>
      </c>
      <c r="Z599" s="102" t="s">
        <v>4451</v>
      </c>
    </row>
    <row r="600" spans="1:26" s="82" customFormat="1" ht="45" x14ac:dyDescent="0.25">
      <c r="A600" s="82" t="s">
        <v>4452</v>
      </c>
      <c r="B600" s="82" t="s">
        <v>4453</v>
      </c>
      <c r="C600" s="82" t="str">
        <f t="shared" si="20"/>
        <v>SC-159  - Epworth Cemetery (Laurel)</v>
      </c>
      <c r="D600" s="96" t="s">
        <v>4454</v>
      </c>
      <c r="E600" s="96" t="s">
        <v>29</v>
      </c>
      <c r="F600" s="97" t="s">
        <v>30</v>
      </c>
      <c r="G600" s="97"/>
      <c r="H600" s="96" t="s">
        <v>837</v>
      </c>
      <c r="I600" s="99" t="s">
        <v>4455</v>
      </c>
      <c r="J600" s="95">
        <v>21</v>
      </c>
      <c r="K600" s="95">
        <v>40</v>
      </c>
      <c r="L600" s="100" t="s">
        <v>4456</v>
      </c>
      <c r="M600" s="100" t="s">
        <v>4457</v>
      </c>
      <c r="N600" s="101" t="s">
        <v>4458</v>
      </c>
      <c r="O600" s="82" t="s">
        <v>3428</v>
      </c>
      <c r="P600" s="82">
        <v>19956</v>
      </c>
      <c r="R600" s="82" t="s">
        <v>37</v>
      </c>
      <c r="S600" s="101" t="s">
        <v>4459</v>
      </c>
      <c r="T600" s="82" t="s">
        <v>38</v>
      </c>
      <c r="U600" s="97">
        <v>2002</v>
      </c>
      <c r="V600" s="97">
        <v>2002</v>
      </c>
      <c r="W600" s="97" t="s">
        <v>39</v>
      </c>
      <c r="X600" s="98">
        <v>44760</v>
      </c>
      <c r="Y600" s="102" t="s">
        <v>4460</v>
      </c>
      <c r="Z600" s="102" t="s">
        <v>4461</v>
      </c>
    </row>
    <row r="601" spans="1:26" s="82" customFormat="1" ht="45" x14ac:dyDescent="0.25">
      <c r="A601" s="82" t="s">
        <v>4462</v>
      </c>
      <c r="B601" s="82" t="s">
        <v>4463</v>
      </c>
      <c r="C601" s="82" t="str">
        <f t="shared" si="20"/>
        <v>SC-160  - Centenary United Methodist Church (Laurel)</v>
      </c>
      <c r="D601" s="96" t="s">
        <v>4385</v>
      </c>
      <c r="E601" s="96" t="s">
        <v>346</v>
      </c>
      <c r="F601" s="97" t="s">
        <v>191</v>
      </c>
      <c r="G601" s="97"/>
      <c r="H601" s="96"/>
      <c r="I601" s="99"/>
      <c r="J601" s="95">
        <v>21</v>
      </c>
      <c r="K601" s="95">
        <v>40</v>
      </c>
      <c r="L601" s="100" t="s">
        <v>4464</v>
      </c>
      <c r="M601" s="100" t="s">
        <v>4465</v>
      </c>
      <c r="N601" s="101" t="s">
        <v>4466</v>
      </c>
      <c r="O601" s="82" t="s">
        <v>3428</v>
      </c>
      <c r="P601" s="82">
        <v>19956</v>
      </c>
      <c r="R601" s="82" t="s">
        <v>37</v>
      </c>
      <c r="S601" s="82" t="s">
        <v>4467</v>
      </c>
      <c r="T601" s="82" t="s">
        <v>435</v>
      </c>
      <c r="U601" s="97">
        <v>2002</v>
      </c>
      <c r="V601" s="97">
        <v>2002</v>
      </c>
      <c r="W601" s="97" t="s">
        <v>593</v>
      </c>
      <c r="X601" s="97"/>
      <c r="Y601" s="102"/>
      <c r="Z601" s="102"/>
    </row>
    <row r="602" spans="1:26" s="82" customFormat="1" ht="51" x14ac:dyDescent="0.25">
      <c r="A602" s="82" t="s">
        <v>4468</v>
      </c>
      <c r="B602" s="82" t="s">
        <v>4469</v>
      </c>
      <c r="C602" s="82" t="str">
        <f t="shared" si="20"/>
        <v>SC-161  - The Zwaanendael Club</v>
      </c>
      <c r="D602" s="96" t="s">
        <v>4470</v>
      </c>
      <c r="E602" s="96" t="s">
        <v>29</v>
      </c>
      <c r="F602" s="97" t="s">
        <v>42</v>
      </c>
      <c r="G602" s="97"/>
      <c r="H602" s="96" t="s">
        <v>684</v>
      </c>
      <c r="I602" s="99" t="s">
        <v>494</v>
      </c>
      <c r="J602" s="95">
        <v>6</v>
      </c>
      <c r="K602" s="95">
        <v>20</v>
      </c>
      <c r="L602" s="113">
        <v>38.774279999999997</v>
      </c>
      <c r="M602" s="112">
        <v>-75.139319999999998</v>
      </c>
      <c r="N602" s="101" t="s">
        <v>3582</v>
      </c>
      <c r="O602" s="82" t="s">
        <v>3548</v>
      </c>
      <c r="P602" s="82">
        <v>19958</v>
      </c>
      <c r="R602" s="82" t="s">
        <v>37</v>
      </c>
      <c r="T602" s="82" t="s">
        <v>435</v>
      </c>
      <c r="U602" s="97">
        <v>2002</v>
      </c>
      <c r="V602" s="97">
        <v>2002</v>
      </c>
      <c r="W602" s="97" t="s">
        <v>593</v>
      </c>
      <c r="X602" s="97"/>
      <c r="Y602" s="131" t="s">
        <v>4471</v>
      </c>
      <c r="Z602" s="102" t="s">
        <v>4472</v>
      </c>
    </row>
    <row r="603" spans="1:26" s="82" customFormat="1" ht="75" x14ac:dyDescent="0.25">
      <c r="A603" s="82" t="s">
        <v>4473</v>
      </c>
      <c r="B603" s="82" t="s">
        <v>4474</v>
      </c>
      <c r="C603" s="82" t="str">
        <f t="shared" si="20"/>
        <v>SC-162  - Governor Samuel Paynter</v>
      </c>
      <c r="D603" s="96" t="s">
        <v>4475</v>
      </c>
      <c r="E603" s="96" t="s">
        <v>29</v>
      </c>
      <c r="F603" s="97" t="s">
        <v>62</v>
      </c>
      <c r="G603" s="97"/>
      <c r="H603" s="96" t="s">
        <v>4041</v>
      </c>
      <c r="I603" s="99"/>
      <c r="J603" s="95">
        <v>6</v>
      </c>
      <c r="K603" s="95">
        <v>20</v>
      </c>
      <c r="L603" s="113" t="s">
        <v>4476</v>
      </c>
      <c r="M603" s="100" t="s">
        <v>4477</v>
      </c>
      <c r="N603" s="82" t="s">
        <v>4478</v>
      </c>
      <c r="O603" s="82" t="s">
        <v>3534</v>
      </c>
      <c r="P603" s="82">
        <v>19968</v>
      </c>
      <c r="R603" s="82" t="s">
        <v>37</v>
      </c>
      <c r="S603" s="82" t="s">
        <v>4479</v>
      </c>
      <c r="T603" s="82" t="s">
        <v>435</v>
      </c>
      <c r="U603" s="97" t="s">
        <v>4480</v>
      </c>
      <c r="V603" s="97">
        <v>2002</v>
      </c>
      <c r="W603" s="97" t="s">
        <v>593</v>
      </c>
      <c r="X603" s="97">
        <v>2017</v>
      </c>
      <c r="Y603" s="102" t="s">
        <v>4481</v>
      </c>
      <c r="Z603" s="102" t="s">
        <v>4482</v>
      </c>
    </row>
    <row r="604" spans="1:26" s="82" customFormat="1" ht="38.25" x14ac:dyDescent="0.25">
      <c r="A604" s="82" t="s">
        <v>4483</v>
      </c>
      <c r="B604" s="82" t="s">
        <v>4484</v>
      </c>
      <c r="C604" s="82" t="str">
        <f t="shared" si="20"/>
        <v>SC-163  - St. Luke‘s Episcopal Church (Seaford)</v>
      </c>
      <c r="D604" s="96" t="s">
        <v>4485</v>
      </c>
      <c r="E604" s="96" t="s">
        <v>346</v>
      </c>
      <c r="F604" s="97" t="s">
        <v>191</v>
      </c>
      <c r="G604" s="97"/>
      <c r="H604" s="96"/>
      <c r="I604" s="99" t="s">
        <v>4362</v>
      </c>
      <c r="J604" s="95">
        <v>21</v>
      </c>
      <c r="K604" s="95">
        <v>39</v>
      </c>
      <c r="L604" s="112">
        <v>38.643770000000004</v>
      </c>
      <c r="M604" s="112">
        <v>-75.608949999999993</v>
      </c>
      <c r="N604" s="101" t="s">
        <v>4486</v>
      </c>
      <c r="O604" s="101" t="s">
        <v>3407</v>
      </c>
      <c r="P604" s="82">
        <v>19973</v>
      </c>
      <c r="R604" s="82" t="s">
        <v>37</v>
      </c>
      <c r="T604" s="82" t="s">
        <v>435</v>
      </c>
      <c r="U604" s="97">
        <v>2002</v>
      </c>
      <c r="V604" s="97">
        <v>2002</v>
      </c>
      <c r="W604" s="97" t="s">
        <v>593</v>
      </c>
      <c r="X604" s="97"/>
      <c r="Y604" s="102"/>
      <c r="Z604" s="102"/>
    </row>
    <row r="605" spans="1:26" s="82" customFormat="1" ht="45" x14ac:dyDescent="0.25">
      <c r="A605" s="82" t="s">
        <v>4487</v>
      </c>
      <c r="B605" s="82" t="s">
        <v>4488</v>
      </c>
      <c r="C605" s="82" t="str">
        <f t="shared" si="20"/>
        <v>SC-164  - Seaford Fire Department</v>
      </c>
      <c r="D605" s="96" t="s">
        <v>4489</v>
      </c>
      <c r="E605" s="96" t="s">
        <v>346</v>
      </c>
      <c r="F605" s="97" t="s">
        <v>30</v>
      </c>
      <c r="G605" s="97"/>
      <c r="H605" s="96"/>
      <c r="I605" s="99"/>
      <c r="J605" s="95">
        <v>21</v>
      </c>
      <c r="K605" s="95">
        <v>39</v>
      </c>
      <c r="L605" s="112">
        <v>38.642220000000002</v>
      </c>
      <c r="M605" s="112">
        <v>-75.612859999999998</v>
      </c>
      <c r="N605" s="101" t="s">
        <v>4490</v>
      </c>
      <c r="O605" s="101" t="s">
        <v>3407</v>
      </c>
      <c r="P605" s="82">
        <v>19973</v>
      </c>
      <c r="R605" s="82" t="s">
        <v>37</v>
      </c>
      <c r="T605" s="82" t="s">
        <v>435</v>
      </c>
      <c r="U605" s="97">
        <v>2002</v>
      </c>
      <c r="V605" s="98">
        <v>37266</v>
      </c>
      <c r="W605" s="97" t="s">
        <v>593</v>
      </c>
      <c r="X605" s="97"/>
      <c r="Y605" s="102" t="s">
        <v>4491</v>
      </c>
      <c r="Z605" s="102" t="s">
        <v>4492</v>
      </c>
    </row>
    <row r="606" spans="1:26" s="82" customFormat="1" ht="45" x14ac:dyDescent="0.25">
      <c r="A606" s="82" t="s">
        <v>4493</v>
      </c>
      <c r="B606" s="82" t="s">
        <v>4494</v>
      </c>
      <c r="C606" s="82" t="str">
        <f t="shared" si="20"/>
        <v>SC-165  - The Holly Industry</v>
      </c>
      <c r="D606" s="115" t="s">
        <v>4495</v>
      </c>
      <c r="E606" s="96" t="s">
        <v>29</v>
      </c>
      <c r="F606" s="97" t="s">
        <v>42</v>
      </c>
      <c r="G606" s="97"/>
      <c r="H606" s="96" t="s">
        <v>192</v>
      </c>
      <c r="I606" s="99"/>
      <c r="J606" s="95">
        <v>6</v>
      </c>
      <c r="K606" s="95">
        <v>20</v>
      </c>
      <c r="L606" s="112">
        <v>38.778812000000002</v>
      </c>
      <c r="M606" s="112">
        <v>-75.309843000000001</v>
      </c>
      <c r="N606" s="101" t="s">
        <v>4496</v>
      </c>
      <c r="O606" s="82" t="s">
        <v>3534</v>
      </c>
      <c r="P606" s="82">
        <v>19968</v>
      </c>
      <c r="R606" s="82" t="s">
        <v>37</v>
      </c>
      <c r="S606" s="101" t="s">
        <v>4497</v>
      </c>
      <c r="T606" s="82" t="s">
        <v>38</v>
      </c>
      <c r="U606" s="97">
        <v>2002</v>
      </c>
      <c r="V606" s="97">
        <v>2002</v>
      </c>
      <c r="W606" s="97" t="s">
        <v>593</v>
      </c>
      <c r="X606" s="98">
        <v>44760</v>
      </c>
      <c r="Y606" s="102" t="s">
        <v>4498</v>
      </c>
      <c r="Z606" s="102" t="s">
        <v>4499</v>
      </c>
    </row>
    <row r="607" spans="1:26" s="82" customFormat="1" ht="38.25" x14ac:dyDescent="0.25">
      <c r="A607" s="82" t="s">
        <v>4500</v>
      </c>
      <c r="B607" s="82" t="s">
        <v>4501</v>
      </c>
      <c r="C607" s="82" t="str">
        <f t="shared" si="20"/>
        <v>SC-166  - Portsville United Methodist Church</v>
      </c>
      <c r="D607" s="96" t="s">
        <v>4502</v>
      </c>
      <c r="E607" s="96" t="s">
        <v>29</v>
      </c>
      <c r="F607" s="97" t="s">
        <v>191</v>
      </c>
      <c r="G607" s="97"/>
      <c r="H607" s="96"/>
      <c r="I607" s="99"/>
      <c r="J607" s="95">
        <v>21</v>
      </c>
      <c r="K607" s="95">
        <v>40</v>
      </c>
      <c r="L607" s="100" t="s">
        <v>4503</v>
      </c>
      <c r="M607" s="100" t="s">
        <v>4504</v>
      </c>
      <c r="N607" s="101" t="s">
        <v>4505</v>
      </c>
      <c r="O607" s="82" t="s">
        <v>3428</v>
      </c>
      <c r="P607" s="82">
        <v>19956</v>
      </c>
      <c r="R607" s="82" t="s">
        <v>37</v>
      </c>
      <c r="T607" s="82" t="s">
        <v>435</v>
      </c>
      <c r="U607" s="185">
        <v>2003</v>
      </c>
      <c r="V607" s="98">
        <v>37640</v>
      </c>
      <c r="W607" s="97" t="s">
        <v>593</v>
      </c>
      <c r="X607" s="97"/>
      <c r="Y607" s="102"/>
      <c r="Z607" s="102"/>
    </row>
    <row r="608" spans="1:26" s="82" customFormat="1" ht="60" x14ac:dyDescent="0.25">
      <c r="A608" s="82" t="s">
        <v>4506</v>
      </c>
      <c r="B608" s="82" t="s">
        <v>4507</v>
      </c>
      <c r="C608" s="82" t="str">
        <f t="shared" si="20"/>
        <v>SC-167  - The Bombardment of Lewes</v>
      </c>
      <c r="D608" s="96" t="s">
        <v>4508</v>
      </c>
      <c r="E608" s="96" t="s">
        <v>29</v>
      </c>
      <c r="F608" s="97" t="s">
        <v>30</v>
      </c>
      <c r="G608" s="97"/>
      <c r="H608" s="96" t="s">
        <v>550</v>
      </c>
      <c r="I608" s="99"/>
      <c r="J608" s="95">
        <v>6</v>
      </c>
      <c r="K608" s="95">
        <v>20</v>
      </c>
      <c r="L608" s="113" t="s">
        <v>4509</v>
      </c>
      <c r="M608" s="112">
        <v>-75.138850000000005</v>
      </c>
      <c r="N608" s="101" t="s">
        <v>4510</v>
      </c>
      <c r="O608" s="82" t="s">
        <v>3548</v>
      </c>
      <c r="P608" s="82">
        <v>19958</v>
      </c>
      <c r="Q608" s="82" t="s">
        <v>4511</v>
      </c>
      <c r="R608" s="82" t="s">
        <v>4512</v>
      </c>
      <c r="S608" s="82" t="s">
        <v>4513</v>
      </c>
      <c r="T608" s="82" t="s">
        <v>38</v>
      </c>
      <c r="U608" s="97">
        <v>2003</v>
      </c>
      <c r="V608" s="97">
        <v>2003</v>
      </c>
      <c r="W608" s="97" t="s">
        <v>39</v>
      </c>
      <c r="X608" s="97">
        <v>2023</v>
      </c>
      <c r="Y608" s="114" t="s">
        <v>4514</v>
      </c>
      <c r="Z608" s="114" t="s">
        <v>4515</v>
      </c>
    </row>
    <row r="609" spans="1:26" s="82" customFormat="1" ht="89.25" x14ac:dyDescent="0.25">
      <c r="A609" s="82" t="s">
        <v>4516</v>
      </c>
      <c r="B609" s="82" t="s">
        <v>4517</v>
      </c>
      <c r="C609" s="82" t="str">
        <f t="shared" si="20"/>
        <v>SC-168  - The Cannonball House</v>
      </c>
      <c r="D609" s="96" t="s">
        <v>4518</v>
      </c>
      <c r="E609" s="96" t="s">
        <v>29</v>
      </c>
      <c r="F609" s="97" t="s">
        <v>30</v>
      </c>
      <c r="G609" s="97"/>
      <c r="H609" s="96"/>
      <c r="I609" s="99"/>
      <c r="J609" s="95">
        <v>6</v>
      </c>
      <c r="K609" s="95">
        <v>20</v>
      </c>
      <c r="L609" s="113" t="s">
        <v>4519</v>
      </c>
      <c r="M609" s="112">
        <v>-75.139300000000006</v>
      </c>
      <c r="N609" s="101" t="s">
        <v>4520</v>
      </c>
      <c r="O609" s="82" t="s">
        <v>3548</v>
      </c>
      <c r="P609" s="82">
        <v>19958</v>
      </c>
      <c r="R609" s="82" t="s">
        <v>37</v>
      </c>
      <c r="S609" s="82" t="s">
        <v>4521</v>
      </c>
      <c r="T609" s="82" t="s">
        <v>435</v>
      </c>
      <c r="U609" s="97">
        <v>2003</v>
      </c>
      <c r="V609" s="97">
        <v>2003</v>
      </c>
      <c r="W609" s="97" t="s">
        <v>593</v>
      </c>
      <c r="X609" s="97"/>
      <c r="Y609" s="102"/>
      <c r="Z609" s="102"/>
    </row>
    <row r="610" spans="1:26" s="82" customFormat="1" ht="30" x14ac:dyDescent="0.25">
      <c r="A610" s="82" t="s">
        <v>4522</v>
      </c>
      <c r="B610" s="82" t="s">
        <v>4523</v>
      </c>
      <c r="C610" s="82" t="str">
        <f t="shared" si="20"/>
        <v>SC-169  - Trinity Methodist Church (Laurel)</v>
      </c>
      <c r="D610" s="96" t="s">
        <v>4524</v>
      </c>
      <c r="E610" s="96" t="s">
        <v>29</v>
      </c>
      <c r="F610" s="97" t="s">
        <v>191</v>
      </c>
      <c r="G610" s="97"/>
      <c r="H610" s="96"/>
      <c r="I610" s="99" t="s">
        <v>4455</v>
      </c>
      <c r="J610" s="95">
        <v>21</v>
      </c>
      <c r="K610" s="95">
        <v>40</v>
      </c>
      <c r="L610" s="100" t="s">
        <v>4525</v>
      </c>
      <c r="M610" s="100" t="s">
        <v>4526</v>
      </c>
      <c r="N610" s="101" t="s">
        <v>4527</v>
      </c>
      <c r="O610" s="82" t="s">
        <v>3428</v>
      </c>
      <c r="P610" s="82">
        <v>19956</v>
      </c>
      <c r="R610" s="82" t="s">
        <v>37</v>
      </c>
      <c r="T610" s="82" t="s">
        <v>435</v>
      </c>
      <c r="U610" s="97">
        <v>2003</v>
      </c>
      <c r="V610" s="97">
        <v>2003</v>
      </c>
      <c r="W610" s="97" t="s">
        <v>593</v>
      </c>
      <c r="X610" s="97">
        <v>2019</v>
      </c>
      <c r="Y610" s="102"/>
      <c r="Z610" s="102"/>
    </row>
    <row r="611" spans="1:26" s="82" customFormat="1" ht="45" x14ac:dyDescent="0.25">
      <c r="A611" s="82" t="s">
        <v>4528</v>
      </c>
      <c r="B611" s="82" t="s">
        <v>4529</v>
      </c>
      <c r="C611" s="82" t="str">
        <f t="shared" si="20"/>
        <v>SC-170  - Georgetown Fire Company</v>
      </c>
      <c r="D611" s="96" t="s">
        <v>4530</v>
      </c>
      <c r="E611" s="96" t="s">
        <v>29</v>
      </c>
      <c r="F611" s="97" t="s">
        <v>30</v>
      </c>
      <c r="G611" s="97"/>
      <c r="H611" s="96"/>
      <c r="I611" s="99"/>
      <c r="J611" s="95">
        <v>19</v>
      </c>
      <c r="K611" s="95">
        <v>37</v>
      </c>
      <c r="L611" s="100" t="s">
        <v>4531</v>
      </c>
      <c r="M611" s="100" t="s">
        <v>4532</v>
      </c>
      <c r="N611" s="101" t="s">
        <v>4533</v>
      </c>
      <c r="O611" s="82" t="s">
        <v>3471</v>
      </c>
      <c r="P611" s="82">
        <v>19947</v>
      </c>
      <c r="R611" s="82" t="s">
        <v>37</v>
      </c>
      <c r="T611" s="82" t="s">
        <v>435</v>
      </c>
      <c r="U611" s="97">
        <v>2003</v>
      </c>
      <c r="V611" s="98">
        <v>37814</v>
      </c>
      <c r="W611" s="97" t="s">
        <v>593</v>
      </c>
      <c r="X611" s="97"/>
      <c r="Y611" s="102" t="s">
        <v>4534</v>
      </c>
      <c r="Z611" s="102" t="s">
        <v>4535</v>
      </c>
    </row>
    <row r="612" spans="1:26" s="82" customFormat="1" ht="28.5" x14ac:dyDescent="0.25">
      <c r="A612" s="7" t="s">
        <v>4536</v>
      </c>
      <c r="B612" s="7" t="s">
        <v>4537</v>
      </c>
      <c r="C612" s="7" t="str">
        <f t="shared" si="20"/>
        <v>SC-171  - West Rehoboth</v>
      </c>
      <c r="D612" s="24"/>
      <c r="E612" s="24" t="s">
        <v>1070</v>
      </c>
      <c r="F612" s="54" t="s">
        <v>30</v>
      </c>
      <c r="G612" s="2"/>
      <c r="H612" s="117"/>
      <c r="I612" s="55" t="s">
        <v>4538</v>
      </c>
      <c r="J612" s="53"/>
      <c r="K612" s="53"/>
      <c r="L612" s="26"/>
      <c r="M612" s="26"/>
      <c r="N612" s="32"/>
      <c r="O612" s="1"/>
      <c r="P612" s="1"/>
      <c r="Q612" s="1"/>
      <c r="R612" s="1" t="s">
        <v>37</v>
      </c>
      <c r="S612" s="1"/>
      <c r="T612" s="1"/>
      <c r="U612" s="2"/>
      <c r="V612" s="2"/>
      <c r="W612" s="8" t="s">
        <v>593</v>
      </c>
      <c r="X612" s="2"/>
      <c r="Y612" s="208"/>
      <c r="Z612" s="208"/>
    </row>
    <row r="613" spans="1:26" s="82" customFormat="1" ht="45" x14ac:dyDescent="0.25">
      <c r="A613" s="82" t="s">
        <v>4539</v>
      </c>
      <c r="B613" s="82" t="s">
        <v>4540</v>
      </c>
      <c r="C613" s="82" t="str">
        <f t="shared" si="20"/>
        <v>SC-172  - Bullseye - Ferry Landing</v>
      </c>
      <c r="D613" s="96" t="s">
        <v>4541</v>
      </c>
      <c r="E613" s="96" t="s">
        <v>29</v>
      </c>
      <c r="F613" s="97" t="s">
        <v>30</v>
      </c>
      <c r="G613" s="97"/>
      <c r="H613" s="96" t="s">
        <v>812</v>
      </c>
      <c r="I613" s="160" t="s">
        <v>4542</v>
      </c>
      <c r="J613" s="95">
        <v>20</v>
      </c>
      <c r="K613" s="95">
        <v>4</v>
      </c>
      <c r="L613" s="100" t="s">
        <v>4543</v>
      </c>
      <c r="M613" s="100" t="s">
        <v>4544</v>
      </c>
      <c r="N613" s="101" t="s">
        <v>4545</v>
      </c>
      <c r="O613" s="82" t="s">
        <v>3671</v>
      </c>
      <c r="P613" s="82">
        <v>19966</v>
      </c>
      <c r="R613" s="82" t="s">
        <v>4546</v>
      </c>
      <c r="S613" s="82" t="s">
        <v>4547</v>
      </c>
      <c r="T613" s="82" t="s">
        <v>38</v>
      </c>
      <c r="U613" s="97">
        <v>2023</v>
      </c>
      <c r="V613" s="97">
        <v>2023</v>
      </c>
      <c r="W613" s="97" t="s">
        <v>39</v>
      </c>
      <c r="X613" s="97"/>
      <c r="Y613" s="102" t="s">
        <v>4548</v>
      </c>
      <c r="Z613" s="102" t="s">
        <v>4549</v>
      </c>
    </row>
    <row r="614" spans="1:26" s="82" customFormat="1" ht="45" x14ac:dyDescent="0.25">
      <c r="A614" s="82" t="s">
        <v>4550</v>
      </c>
      <c r="B614" s="82" t="s">
        <v>4551</v>
      </c>
      <c r="C614" s="82" t="str">
        <f t="shared" si="20"/>
        <v>SC-173  - Woodland Ferry</v>
      </c>
      <c r="D614" s="96" t="s">
        <v>4552</v>
      </c>
      <c r="E614" s="96" t="s">
        <v>29</v>
      </c>
      <c r="F614" s="97" t="s">
        <v>30</v>
      </c>
      <c r="G614" s="97"/>
      <c r="H614" s="96" t="s">
        <v>4553</v>
      </c>
      <c r="I614" s="99"/>
      <c r="J614" s="95">
        <v>21</v>
      </c>
      <c r="K614" s="95">
        <v>39</v>
      </c>
      <c r="L614" s="100" t="s">
        <v>4554</v>
      </c>
      <c r="M614" s="100" t="s">
        <v>4555</v>
      </c>
      <c r="N614" s="101" t="s">
        <v>4556</v>
      </c>
      <c r="O614" s="82" t="s">
        <v>3407</v>
      </c>
      <c r="P614" s="82">
        <v>19973</v>
      </c>
      <c r="R614" s="82" t="s">
        <v>37</v>
      </c>
      <c r="T614" s="82" t="s">
        <v>435</v>
      </c>
      <c r="U614" s="97">
        <v>2004</v>
      </c>
      <c r="V614" s="97">
        <v>2004</v>
      </c>
      <c r="W614" s="97" t="s">
        <v>593</v>
      </c>
      <c r="X614" s="97"/>
      <c r="Y614" s="102" t="s">
        <v>4557</v>
      </c>
      <c r="Z614" s="102" t="s">
        <v>4558</v>
      </c>
    </row>
    <row r="615" spans="1:26" s="82" customFormat="1" ht="45" x14ac:dyDescent="0.25">
      <c r="A615" s="82" t="s">
        <v>4559</v>
      </c>
      <c r="B615" s="82" t="s">
        <v>4560</v>
      </c>
      <c r="C615" s="82" t="str">
        <f t="shared" si="20"/>
        <v>SC-174  - Zion United Methodist Church (Milton)</v>
      </c>
      <c r="D615" s="96" t="s">
        <v>4561</v>
      </c>
      <c r="E615" s="96" t="s">
        <v>29</v>
      </c>
      <c r="F615" s="97" t="s">
        <v>191</v>
      </c>
      <c r="G615" s="97"/>
      <c r="H615" s="96" t="s">
        <v>232</v>
      </c>
      <c r="I615" s="99" t="s">
        <v>4562</v>
      </c>
      <c r="J615" s="95">
        <v>6</v>
      </c>
      <c r="K615" s="95">
        <v>20</v>
      </c>
      <c r="L615" s="100" t="s">
        <v>4563</v>
      </c>
      <c r="M615" s="100" t="s">
        <v>4564</v>
      </c>
      <c r="N615" s="101" t="s">
        <v>4565</v>
      </c>
      <c r="O615" s="82" t="s">
        <v>3534</v>
      </c>
      <c r="P615" s="82">
        <v>19968</v>
      </c>
      <c r="R615" s="82" t="s">
        <v>37</v>
      </c>
      <c r="T615" s="82" t="s">
        <v>435</v>
      </c>
      <c r="U615" s="97">
        <v>2003</v>
      </c>
      <c r="V615" s="97">
        <v>2003</v>
      </c>
      <c r="W615" s="97" t="s">
        <v>593</v>
      </c>
      <c r="X615" s="97"/>
      <c r="Y615" s="131" t="s">
        <v>4566</v>
      </c>
      <c r="Z615" s="102" t="s">
        <v>4567</v>
      </c>
    </row>
    <row r="616" spans="1:26" s="82" customFormat="1" ht="63.75" x14ac:dyDescent="0.25">
      <c r="A616" s="82" t="s">
        <v>4568</v>
      </c>
      <c r="B616" s="82" t="s">
        <v>4569</v>
      </c>
      <c r="C616" s="82" t="str">
        <f t="shared" si="20"/>
        <v>SC-175  - Lightship Overfalls</v>
      </c>
      <c r="D616" s="96" t="s">
        <v>4570</v>
      </c>
      <c r="E616" s="96" t="s">
        <v>29</v>
      </c>
      <c r="F616" s="97" t="s">
        <v>30</v>
      </c>
      <c r="G616" s="97"/>
      <c r="H616" s="96"/>
      <c r="I616" s="99" t="s">
        <v>494</v>
      </c>
      <c r="J616" s="95">
        <v>6</v>
      </c>
      <c r="K616" s="95">
        <v>20</v>
      </c>
      <c r="L616" s="113" t="s">
        <v>4571</v>
      </c>
      <c r="M616" s="112">
        <v>-75.141509999999997</v>
      </c>
      <c r="N616" s="101" t="s">
        <v>4572</v>
      </c>
      <c r="O616" s="82" t="s">
        <v>3548</v>
      </c>
      <c r="P616" s="82">
        <v>19958</v>
      </c>
      <c r="R616" s="82" t="s">
        <v>37</v>
      </c>
      <c r="T616" s="82" t="s">
        <v>435</v>
      </c>
      <c r="U616" s="97">
        <v>2003</v>
      </c>
      <c r="V616" s="97">
        <v>2003</v>
      </c>
      <c r="W616" s="97" t="s">
        <v>593</v>
      </c>
      <c r="X616" s="97"/>
      <c r="Y616" s="102" t="s">
        <v>4573</v>
      </c>
      <c r="Z616" s="102" t="s">
        <v>4574</v>
      </c>
    </row>
    <row r="617" spans="1:26" s="82" customFormat="1" ht="45" x14ac:dyDescent="0.25">
      <c r="A617" s="82" t="s">
        <v>4575</v>
      </c>
      <c r="B617" s="82" t="s">
        <v>4576</v>
      </c>
      <c r="C617" s="82" t="str">
        <f t="shared" si="20"/>
        <v>SC-176  - Governor David Hazzard</v>
      </c>
      <c r="D617" s="96" t="s">
        <v>4577</v>
      </c>
      <c r="E617" s="96" t="s">
        <v>29</v>
      </c>
      <c r="F617" s="97" t="s">
        <v>62</v>
      </c>
      <c r="G617" s="97"/>
      <c r="H617" s="96"/>
      <c r="I617" s="99" t="s">
        <v>4139</v>
      </c>
      <c r="J617" s="95">
        <v>6</v>
      </c>
      <c r="K617" s="95">
        <v>20</v>
      </c>
      <c r="L617" s="100" t="s">
        <v>4578</v>
      </c>
      <c r="M617" s="100" t="s">
        <v>4579</v>
      </c>
      <c r="N617" s="101" t="s">
        <v>4580</v>
      </c>
      <c r="O617" s="82" t="s">
        <v>3534</v>
      </c>
      <c r="P617" s="82">
        <v>19968</v>
      </c>
      <c r="R617" s="82" t="s">
        <v>37</v>
      </c>
      <c r="S617" s="101" t="s">
        <v>4581</v>
      </c>
      <c r="T617" s="82" t="s">
        <v>38</v>
      </c>
      <c r="U617" s="97" t="s">
        <v>4582</v>
      </c>
      <c r="V617" s="97">
        <v>2003</v>
      </c>
      <c r="W617" s="97" t="s">
        <v>39</v>
      </c>
      <c r="X617" s="97">
        <v>2023</v>
      </c>
      <c r="Y617" s="102" t="s">
        <v>4583</v>
      </c>
      <c r="Z617" s="102" t="s">
        <v>4584</v>
      </c>
    </row>
    <row r="618" spans="1:26" s="82" customFormat="1" ht="45" x14ac:dyDescent="0.25">
      <c r="A618" s="82" t="s">
        <v>4585</v>
      </c>
      <c r="B618" s="82" t="s">
        <v>4586</v>
      </c>
      <c r="C618" s="82" t="str">
        <f t="shared" si="20"/>
        <v>SC-177  - St. Johns United Methodist Church (Seaford)</v>
      </c>
      <c r="D618" s="96" t="s">
        <v>4587</v>
      </c>
      <c r="E618" s="96" t="s">
        <v>130</v>
      </c>
      <c r="F618" s="97" t="s">
        <v>191</v>
      </c>
      <c r="G618" s="97"/>
      <c r="H618" s="96"/>
      <c r="I618" s="99"/>
      <c r="J618" s="95">
        <v>21</v>
      </c>
      <c r="K618" s="95">
        <v>39</v>
      </c>
      <c r="L618" s="112">
        <v>38.64329</v>
      </c>
      <c r="M618" s="112">
        <v>-75.613389999999995</v>
      </c>
      <c r="N618" s="101" t="s">
        <v>4588</v>
      </c>
      <c r="O618" s="101" t="s">
        <v>3407</v>
      </c>
      <c r="P618" s="82">
        <v>19973</v>
      </c>
      <c r="R618" s="82" t="s">
        <v>37</v>
      </c>
      <c r="T618" s="82" t="s">
        <v>435</v>
      </c>
      <c r="U618" s="97">
        <v>2003</v>
      </c>
      <c r="V618" s="97">
        <v>2003</v>
      </c>
      <c r="W618" s="97" t="s">
        <v>593</v>
      </c>
      <c r="X618" s="97"/>
      <c r="Y618" s="102"/>
      <c r="Z618" s="102"/>
    </row>
    <row r="619" spans="1:26" s="82" customFormat="1" ht="30" x14ac:dyDescent="0.25">
      <c r="A619" s="82" t="s">
        <v>4589</v>
      </c>
      <c r="B619" s="82" t="s">
        <v>4590</v>
      </c>
      <c r="C619" s="82" t="str">
        <f t="shared" si="20"/>
        <v>SC-178  - Oak Grove Crownstone</v>
      </c>
      <c r="D619" s="96" t="s">
        <v>3738</v>
      </c>
      <c r="E619" s="96" t="s">
        <v>346</v>
      </c>
      <c r="F619" s="97" t="s">
        <v>409</v>
      </c>
      <c r="G619" s="97"/>
      <c r="H619" s="96"/>
      <c r="I619" s="99" t="s">
        <v>4362</v>
      </c>
      <c r="J619" s="95">
        <v>21</v>
      </c>
      <c r="K619" s="95">
        <v>39</v>
      </c>
      <c r="L619" s="112">
        <v>38.677509999999998</v>
      </c>
      <c r="M619" s="112">
        <v>-75.710719999999995</v>
      </c>
      <c r="N619" s="101" t="s">
        <v>4591</v>
      </c>
      <c r="O619" s="101" t="s">
        <v>3407</v>
      </c>
      <c r="P619" s="82">
        <v>19973</v>
      </c>
      <c r="R619" s="82" t="s">
        <v>37</v>
      </c>
      <c r="T619" s="82" t="s">
        <v>435</v>
      </c>
      <c r="U619" s="97">
        <v>2003</v>
      </c>
      <c r="V619" s="97">
        <v>2003</v>
      </c>
      <c r="W619" s="97" t="s">
        <v>593</v>
      </c>
      <c r="X619" s="97"/>
      <c r="Y619" s="102"/>
      <c r="Z619" s="102"/>
    </row>
    <row r="620" spans="1:26" s="82" customFormat="1" ht="45" x14ac:dyDescent="0.25">
      <c r="A620" s="82" t="s">
        <v>4592</v>
      </c>
      <c r="B620" s="82" t="s">
        <v>4593</v>
      </c>
      <c r="C620" s="82" t="str">
        <f t="shared" si="20"/>
        <v>SC-179  - Phillis Wheatley School</v>
      </c>
      <c r="D620" s="96" t="s">
        <v>3788</v>
      </c>
      <c r="E620" s="96" t="s">
        <v>29</v>
      </c>
      <c r="F620" s="97" t="s">
        <v>276</v>
      </c>
      <c r="G620" s="97" t="s">
        <v>293</v>
      </c>
      <c r="H620" s="96"/>
      <c r="I620" s="99"/>
      <c r="J620" s="95">
        <v>18</v>
      </c>
      <c r="K620" s="95">
        <v>35</v>
      </c>
      <c r="L620" s="100">
        <v>38.751089999999998</v>
      </c>
      <c r="M620" s="100" t="s">
        <v>4594</v>
      </c>
      <c r="N620" s="101" t="s">
        <v>4595</v>
      </c>
      <c r="O620" s="82" t="s">
        <v>3400</v>
      </c>
      <c r="P620" s="82">
        <v>19933</v>
      </c>
      <c r="R620" s="82" t="s">
        <v>37</v>
      </c>
      <c r="T620" s="82" t="s">
        <v>435</v>
      </c>
      <c r="U620" s="97">
        <v>2004</v>
      </c>
      <c r="V620" s="98">
        <v>38139</v>
      </c>
      <c r="W620" s="97" t="s">
        <v>593</v>
      </c>
      <c r="X620" s="97"/>
      <c r="Y620" s="102" t="s">
        <v>4596</v>
      </c>
      <c r="Z620" s="102" t="s">
        <v>4597</v>
      </c>
    </row>
    <row r="621" spans="1:26" s="65" customFormat="1" ht="63.75" x14ac:dyDescent="0.25">
      <c r="A621" s="181" t="s">
        <v>4598</v>
      </c>
      <c r="B621" s="181" t="s">
        <v>4599</v>
      </c>
      <c r="C621" s="181" t="str">
        <f t="shared" si="20"/>
        <v>SC-180  - Hiram Rodney Burton House</v>
      </c>
      <c r="D621" s="200" t="s">
        <v>4600</v>
      </c>
      <c r="E621" s="200" t="s">
        <v>29</v>
      </c>
      <c r="F621" s="202" t="s">
        <v>30</v>
      </c>
      <c r="G621" s="202"/>
      <c r="H621" s="200"/>
      <c r="I621" s="203" t="s">
        <v>4601</v>
      </c>
      <c r="J621" s="201">
        <v>6</v>
      </c>
      <c r="K621" s="201">
        <v>20</v>
      </c>
      <c r="L621" s="211">
        <v>38.77664</v>
      </c>
      <c r="M621" s="205">
        <v>-75.142629999999997</v>
      </c>
      <c r="N621" s="206" t="s">
        <v>4602</v>
      </c>
      <c r="O621" s="181" t="s">
        <v>3548</v>
      </c>
      <c r="P621" s="181">
        <v>19958</v>
      </c>
      <c r="Q621" s="181"/>
      <c r="R621" s="181" t="s">
        <v>37</v>
      </c>
      <c r="S621" s="181"/>
      <c r="T621" s="181" t="s">
        <v>435</v>
      </c>
      <c r="U621" s="202">
        <v>2004</v>
      </c>
      <c r="V621" s="202">
        <v>2004</v>
      </c>
      <c r="W621" s="202" t="s">
        <v>593</v>
      </c>
      <c r="X621" s="202"/>
      <c r="Y621" s="209"/>
      <c r="Z621" s="209"/>
    </row>
    <row r="622" spans="1:26" s="82" customFormat="1" ht="51" x14ac:dyDescent="0.25">
      <c r="A622" s="82" t="s">
        <v>4603</v>
      </c>
      <c r="B622" s="82" t="s">
        <v>4604</v>
      </c>
      <c r="C622" s="82" t="str">
        <f t="shared" si="20"/>
        <v>SC-181  - Gumboro School</v>
      </c>
      <c r="D622" s="96" t="s">
        <v>4605</v>
      </c>
      <c r="E622" s="96" t="s">
        <v>130</v>
      </c>
      <c r="F622" s="97" t="s">
        <v>276</v>
      </c>
      <c r="G622" s="97"/>
      <c r="H622" s="96"/>
      <c r="I622" s="99"/>
      <c r="J622" s="95">
        <v>21</v>
      </c>
      <c r="K622" s="95">
        <v>41</v>
      </c>
      <c r="L622" s="100" t="s">
        <v>4606</v>
      </c>
      <c r="M622" s="100" t="s">
        <v>4607</v>
      </c>
      <c r="N622" s="101" t="s">
        <v>4608</v>
      </c>
      <c r="O622" s="82" t="s">
        <v>4073</v>
      </c>
      <c r="P622" s="82">
        <v>19966</v>
      </c>
      <c r="R622" s="82" t="s">
        <v>37</v>
      </c>
      <c r="S622" s="82" t="s">
        <v>1980</v>
      </c>
      <c r="T622" s="82" t="s">
        <v>435</v>
      </c>
      <c r="U622" s="97">
        <v>2004</v>
      </c>
      <c r="V622" s="97">
        <v>2004</v>
      </c>
      <c r="W622" s="97" t="s">
        <v>593</v>
      </c>
      <c r="X622" s="97"/>
      <c r="Y622" s="102"/>
      <c r="Z622" s="102"/>
    </row>
    <row r="623" spans="1:26" s="82" customFormat="1" ht="25.5" x14ac:dyDescent="0.25">
      <c r="A623" s="82" t="s">
        <v>4609</v>
      </c>
      <c r="B623" s="82" t="s">
        <v>4610</v>
      </c>
      <c r="C623" s="82" t="str">
        <f t="shared" si="20"/>
        <v>SC-182  - The Wading Place</v>
      </c>
      <c r="D623" s="96" t="s">
        <v>4199</v>
      </c>
      <c r="E623" s="96" t="s">
        <v>346</v>
      </c>
      <c r="F623" s="97" t="s">
        <v>30</v>
      </c>
      <c r="G623" s="97"/>
      <c r="H623" s="96" t="s">
        <v>3337</v>
      </c>
      <c r="I623" s="99"/>
      <c r="J623" s="95">
        <v>21</v>
      </c>
      <c r="K623" s="95">
        <v>40</v>
      </c>
      <c r="L623" s="100" t="s">
        <v>4611</v>
      </c>
      <c r="M623" s="100" t="s">
        <v>4612</v>
      </c>
      <c r="N623" s="101" t="s">
        <v>4613</v>
      </c>
      <c r="O623" s="82" t="s">
        <v>3428</v>
      </c>
      <c r="P623" s="82">
        <v>19956</v>
      </c>
      <c r="R623" s="82" t="s">
        <v>37</v>
      </c>
      <c r="T623" s="82" t="s">
        <v>435</v>
      </c>
      <c r="U623" s="97">
        <v>2004</v>
      </c>
      <c r="V623" s="97">
        <v>2004</v>
      </c>
      <c r="W623" s="97" t="s">
        <v>593</v>
      </c>
      <c r="X623" s="97"/>
      <c r="Y623" s="102"/>
      <c r="Z623" s="102"/>
    </row>
    <row r="624" spans="1:26" s="94" customFormat="1" ht="30" x14ac:dyDescent="0.25">
      <c r="A624" s="82" t="s">
        <v>4614</v>
      </c>
      <c r="B624" s="82" t="s">
        <v>4615</v>
      </c>
      <c r="C624" s="82" t="str">
        <f t="shared" si="20"/>
        <v>SC-183  - US Army Radar Site 11</v>
      </c>
      <c r="D624" s="96" t="s">
        <v>3815</v>
      </c>
      <c r="E624" s="96" t="s">
        <v>29</v>
      </c>
      <c r="F624" s="97" t="s">
        <v>1140</v>
      </c>
      <c r="G624" s="97"/>
      <c r="H624" s="96"/>
      <c r="I624" s="99" t="s">
        <v>4616</v>
      </c>
      <c r="J624" s="95">
        <v>20</v>
      </c>
      <c r="K624" s="95">
        <v>38</v>
      </c>
      <c r="L624" s="100" t="s">
        <v>4617</v>
      </c>
      <c r="M624" s="100" t="s">
        <v>4618</v>
      </c>
      <c r="N624" s="101" t="s">
        <v>4619</v>
      </c>
      <c r="O624" s="82" t="s">
        <v>3846</v>
      </c>
      <c r="P624" s="82">
        <v>19970</v>
      </c>
      <c r="Q624" s="82"/>
      <c r="R624" s="82" t="s">
        <v>37</v>
      </c>
      <c r="S624" s="82" t="s">
        <v>4620</v>
      </c>
      <c r="T624" s="82" t="s">
        <v>435</v>
      </c>
      <c r="U624" s="185">
        <v>2004</v>
      </c>
      <c r="V624" s="98">
        <v>38217</v>
      </c>
      <c r="W624" s="97" t="s">
        <v>593</v>
      </c>
      <c r="X624" s="97"/>
      <c r="Y624" s="102"/>
      <c r="Z624" s="102"/>
    </row>
    <row r="625" spans="1:26" s="82" customFormat="1" ht="60" x14ac:dyDescent="0.25">
      <c r="A625" s="82" t="s">
        <v>4621</v>
      </c>
      <c r="B625" s="82" t="s">
        <v>4622</v>
      </c>
      <c r="C625" s="82" t="str">
        <f t="shared" si="20"/>
        <v>SC-184  - Milford's Struggle for Educational Equality</v>
      </c>
      <c r="D625" s="96" t="s">
        <v>4623</v>
      </c>
      <c r="E625" s="96" t="s">
        <v>152</v>
      </c>
      <c r="F625" s="97" t="s">
        <v>42</v>
      </c>
      <c r="G625" s="97" t="s">
        <v>293</v>
      </c>
      <c r="H625" s="96"/>
      <c r="I625" s="99"/>
      <c r="J625" s="95">
        <v>18</v>
      </c>
      <c r="K625" s="95">
        <v>36</v>
      </c>
      <c r="L625" s="100" t="s">
        <v>4624</v>
      </c>
      <c r="M625" s="100" t="s">
        <v>4625</v>
      </c>
      <c r="N625" s="101" t="s">
        <v>4626</v>
      </c>
      <c r="O625" s="82" t="s">
        <v>208</v>
      </c>
      <c r="P625" s="82">
        <v>19963</v>
      </c>
      <c r="R625" s="82" t="s">
        <v>37</v>
      </c>
      <c r="S625" s="82" t="s">
        <v>4627</v>
      </c>
      <c r="T625" s="82" t="s">
        <v>435</v>
      </c>
      <c r="U625" s="97">
        <v>2004</v>
      </c>
      <c r="V625" s="97">
        <v>2004</v>
      </c>
      <c r="W625" s="97" t="s">
        <v>593</v>
      </c>
      <c r="X625" s="97"/>
      <c r="Y625" s="102"/>
      <c r="Z625" s="102"/>
    </row>
    <row r="626" spans="1:26" s="82" customFormat="1" ht="45" x14ac:dyDescent="0.2">
      <c r="A626" s="82" t="s">
        <v>4628</v>
      </c>
      <c r="B626" s="82" t="s">
        <v>4629</v>
      </c>
      <c r="C626" s="82" t="str">
        <f t="shared" ref="C626:C630" si="21">A626 &amp; " - " &amp; B626</f>
        <v>SC-184A  - Ellendale's Railroad Square</v>
      </c>
      <c r="D626" s="96" t="s">
        <v>4630</v>
      </c>
      <c r="E626" s="96" t="s">
        <v>29</v>
      </c>
      <c r="F626" s="97" t="s">
        <v>30</v>
      </c>
      <c r="G626" s="97"/>
      <c r="H626" s="96"/>
      <c r="I626" s="99"/>
      <c r="J626" s="95">
        <v>18</v>
      </c>
      <c r="K626" s="95">
        <v>36</v>
      </c>
      <c r="L626" s="100" t="s">
        <v>4631</v>
      </c>
      <c r="M626" s="100" t="s">
        <v>4632</v>
      </c>
      <c r="N626" s="186" t="s">
        <v>4633</v>
      </c>
      <c r="O626" s="82" t="s">
        <v>4634</v>
      </c>
      <c r="P626" s="82">
        <v>19941</v>
      </c>
      <c r="R626" s="82" t="s">
        <v>37</v>
      </c>
      <c r="T626" s="82" t="s">
        <v>435</v>
      </c>
      <c r="U626" s="97">
        <v>2004</v>
      </c>
      <c r="V626" s="97">
        <v>2004</v>
      </c>
      <c r="W626" s="97" t="s">
        <v>593</v>
      </c>
      <c r="X626" s="97"/>
      <c r="Y626" s="102" t="s">
        <v>4635</v>
      </c>
      <c r="Z626" s="102" t="s">
        <v>4636</v>
      </c>
    </row>
    <row r="627" spans="1:26" s="82" customFormat="1" ht="45" x14ac:dyDescent="0.25">
      <c r="A627" s="82" t="s">
        <v>4637</v>
      </c>
      <c r="B627" s="82" t="s">
        <v>4638</v>
      </c>
      <c r="C627" s="82" t="str">
        <f t="shared" si="21"/>
        <v>SC-185  - Delaware Breakwater East End Lighthouse</v>
      </c>
      <c r="D627" s="96" t="s">
        <v>3575</v>
      </c>
      <c r="E627" s="96" t="s">
        <v>29</v>
      </c>
      <c r="F627" s="97" t="s">
        <v>30</v>
      </c>
      <c r="G627" s="97"/>
      <c r="H627" s="96" t="s">
        <v>635</v>
      </c>
      <c r="I627" s="99" t="s">
        <v>4639</v>
      </c>
      <c r="J627" s="95">
        <v>6</v>
      </c>
      <c r="K627" s="95">
        <v>20</v>
      </c>
      <c r="L627" s="113" t="s">
        <v>4640</v>
      </c>
      <c r="M627" s="112">
        <v>-75.118430000000004</v>
      </c>
      <c r="N627" s="101" t="s">
        <v>4641</v>
      </c>
      <c r="O627" s="82" t="s">
        <v>3548</v>
      </c>
      <c r="P627" s="82">
        <v>19958</v>
      </c>
      <c r="Q627" s="82" t="s">
        <v>4642</v>
      </c>
      <c r="R627" s="82" t="s">
        <v>4643</v>
      </c>
      <c r="S627" s="101" t="s">
        <v>4644</v>
      </c>
      <c r="T627" s="82" t="s">
        <v>435</v>
      </c>
      <c r="U627" s="97">
        <v>2004</v>
      </c>
      <c r="V627" s="98">
        <v>38260</v>
      </c>
      <c r="W627" s="97" t="s">
        <v>593</v>
      </c>
      <c r="X627" s="97"/>
      <c r="Y627" s="102" t="s">
        <v>4645</v>
      </c>
      <c r="Z627" s="102" t="s">
        <v>4646</v>
      </c>
    </row>
    <row r="628" spans="1:26" s="82" customFormat="1" ht="30" x14ac:dyDescent="0.25">
      <c r="A628" s="82" t="s">
        <v>4647</v>
      </c>
      <c r="B628" s="82" t="s">
        <v>4648</v>
      </c>
      <c r="C628" s="82" t="str">
        <f t="shared" si="21"/>
        <v>SC-186  - Harbor of Refuge Lighthouse</v>
      </c>
      <c r="D628" s="96" t="s">
        <v>4649</v>
      </c>
      <c r="E628" s="96" t="s">
        <v>29</v>
      </c>
      <c r="F628" s="97" t="s">
        <v>30</v>
      </c>
      <c r="G628" s="97"/>
      <c r="H628" s="96"/>
      <c r="I628" s="99" t="s">
        <v>4639</v>
      </c>
      <c r="J628" s="95">
        <v>6</v>
      </c>
      <c r="K628" s="95">
        <v>20</v>
      </c>
      <c r="L628" s="113">
        <v>38.782209999999999</v>
      </c>
      <c r="M628" s="112">
        <v>-75.119190000000003</v>
      </c>
      <c r="N628" s="101" t="s">
        <v>4641</v>
      </c>
      <c r="O628" s="82" t="s">
        <v>3548</v>
      </c>
      <c r="P628" s="82">
        <v>19958</v>
      </c>
      <c r="Q628" s="82" t="s">
        <v>4642</v>
      </c>
      <c r="R628" s="82" t="s">
        <v>4643</v>
      </c>
      <c r="S628" s="101" t="s">
        <v>4644</v>
      </c>
      <c r="T628" s="82" t="s">
        <v>435</v>
      </c>
      <c r="U628" s="97">
        <v>2004</v>
      </c>
      <c r="V628" s="98">
        <v>38260</v>
      </c>
      <c r="W628" s="97" t="s">
        <v>593</v>
      </c>
      <c r="X628" s="97"/>
      <c r="Y628" s="102"/>
      <c r="Z628" s="102"/>
    </row>
    <row r="629" spans="1:26" s="82" customFormat="1" ht="45" x14ac:dyDescent="0.25">
      <c r="A629" s="82" t="s">
        <v>4650</v>
      </c>
      <c r="B629" s="82" t="s">
        <v>4651</v>
      </c>
      <c r="C629" s="82" t="str">
        <f t="shared" si="21"/>
        <v>SC-187  - Harmony United Methodist Church</v>
      </c>
      <c r="D629" s="96" t="s">
        <v>4652</v>
      </c>
      <c r="E629" s="96" t="s">
        <v>29</v>
      </c>
      <c r="F629" s="97" t="s">
        <v>191</v>
      </c>
      <c r="G629" s="97"/>
      <c r="H629" s="96"/>
      <c r="I629" s="99" t="s">
        <v>4653</v>
      </c>
      <c r="J629" s="95">
        <v>20</v>
      </c>
      <c r="K629" s="95">
        <v>4</v>
      </c>
      <c r="L629" s="100" t="s">
        <v>4654</v>
      </c>
      <c r="M629" s="100" t="s">
        <v>4655</v>
      </c>
      <c r="N629" s="101" t="s">
        <v>4656</v>
      </c>
      <c r="O629" s="101" t="s">
        <v>3671</v>
      </c>
      <c r="P629" s="82">
        <v>19966</v>
      </c>
      <c r="R629" s="82" t="s">
        <v>37</v>
      </c>
      <c r="S629" s="101" t="s">
        <v>4657</v>
      </c>
      <c r="T629" s="82" t="s">
        <v>38</v>
      </c>
      <c r="U629" s="97">
        <v>2004</v>
      </c>
      <c r="V629" s="97">
        <v>2004</v>
      </c>
      <c r="W629" s="97" t="s">
        <v>39</v>
      </c>
      <c r="X629" s="98">
        <v>44728</v>
      </c>
      <c r="Y629" s="102" t="s">
        <v>4658</v>
      </c>
      <c r="Z629" s="102" t="s">
        <v>4659</v>
      </c>
    </row>
    <row r="630" spans="1:26" s="82" customFormat="1" ht="60" x14ac:dyDescent="0.25">
      <c r="A630" s="82" t="s">
        <v>4660</v>
      </c>
      <c r="B630" s="82" t="s">
        <v>4661</v>
      </c>
      <c r="C630" s="82" t="str">
        <f t="shared" si="21"/>
        <v>SC-188  - Governor Joseph Maull</v>
      </c>
      <c r="D630" s="96" t="s">
        <v>4662</v>
      </c>
      <c r="E630" s="96" t="s">
        <v>29</v>
      </c>
      <c r="F630" s="97" t="s">
        <v>62</v>
      </c>
      <c r="G630" s="97"/>
      <c r="H630" s="96" t="s">
        <v>4663</v>
      </c>
      <c r="I630" s="99" t="s">
        <v>4139</v>
      </c>
      <c r="J630" s="95">
        <v>6</v>
      </c>
      <c r="K630" s="95">
        <v>20</v>
      </c>
      <c r="L630" s="100" t="s">
        <v>4664</v>
      </c>
      <c r="M630" s="100" t="s">
        <v>4665</v>
      </c>
      <c r="N630" s="101" t="s">
        <v>4666</v>
      </c>
      <c r="O630" s="82" t="s">
        <v>3534</v>
      </c>
      <c r="P630" s="82">
        <v>19968</v>
      </c>
      <c r="Q630" s="82" t="s">
        <v>4667</v>
      </c>
      <c r="R630" s="82" t="s">
        <v>4668</v>
      </c>
      <c r="S630" s="82" t="s">
        <v>4669</v>
      </c>
      <c r="T630" s="82" t="s">
        <v>38</v>
      </c>
      <c r="U630" s="97" t="s">
        <v>4670</v>
      </c>
      <c r="V630" s="97">
        <v>2004</v>
      </c>
      <c r="W630" s="121" t="s">
        <v>39</v>
      </c>
      <c r="X630" s="97">
        <v>2023</v>
      </c>
      <c r="Y630" s="180" t="s">
        <v>4671</v>
      </c>
      <c r="Z630" s="114" t="s">
        <v>4672</v>
      </c>
    </row>
    <row r="631" spans="1:26" s="82" customFormat="1" x14ac:dyDescent="0.25">
      <c r="A631" s="7" t="s">
        <v>4673</v>
      </c>
      <c r="B631" s="7" t="s">
        <v>4317</v>
      </c>
      <c r="C631" s="7" t="str">
        <f>A631&amp; " - "&amp;B631</f>
        <v>SC-189  - UNASSIGNED</v>
      </c>
      <c r="D631" s="21"/>
      <c r="E631" s="23" t="s">
        <v>66</v>
      </c>
      <c r="F631" s="8"/>
      <c r="G631" s="8"/>
      <c r="H631" s="21"/>
      <c r="I631" s="29"/>
      <c r="J631" s="18"/>
      <c r="K631" s="18"/>
      <c r="L631" s="27"/>
      <c r="M631" s="27"/>
      <c r="N631" s="5"/>
      <c r="O631" s="3"/>
      <c r="P631" s="3"/>
      <c r="Q631" s="3"/>
      <c r="R631" s="3" t="s">
        <v>37</v>
      </c>
      <c r="S631" s="3"/>
      <c r="T631" s="3"/>
      <c r="U631" s="8"/>
      <c r="V631" s="8"/>
      <c r="W631" s="10"/>
      <c r="X631" s="8"/>
      <c r="Y631" s="4"/>
      <c r="Z631" s="4"/>
    </row>
    <row r="632" spans="1:26" s="82" customFormat="1" ht="60" x14ac:dyDescent="0.25">
      <c r="A632" s="82" t="s">
        <v>4674</v>
      </c>
      <c r="B632" s="82" t="s">
        <v>4675</v>
      </c>
      <c r="C632" s="82" t="str">
        <f>A632 &amp; " - " &amp;B632</f>
        <v>SC-190  - Blackwater Presbyterian Church</v>
      </c>
      <c r="D632" s="96" t="s">
        <v>4676</v>
      </c>
      <c r="E632" s="96" t="s">
        <v>29</v>
      </c>
      <c r="F632" s="97" t="s">
        <v>191</v>
      </c>
      <c r="G632" s="97"/>
      <c r="H632" s="96" t="s">
        <v>4677</v>
      </c>
      <c r="I632" s="99" t="s">
        <v>4169</v>
      </c>
      <c r="J632" s="95">
        <v>20</v>
      </c>
      <c r="K632" s="95">
        <v>41</v>
      </c>
      <c r="L632" s="100" t="s">
        <v>4678</v>
      </c>
      <c r="M632" s="100" t="s">
        <v>4679</v>
      </c>
      <c r="N632" s="101" t="s">
        <v>4680</v>
      </c>
      <c r="O632" s="82" t="s">
        <v>3500</v>
      </c>
      <c r="P632" s="82">
        <v>19945</v>
      </c>
      <c r="R632" s="82" t="s">
        <v>37</v>
      </c>
      <c r="S632" s="187" t="s">
        <v>4681</v>
      </c>
      <c r="T632" s="82" t="s">
        <v>435</v>
      </c>
      <c r="U632" s="97">
        <v>2004</v>
      </c>
      <c r="V632" s="97">
        <v>2004</v>
      </c>
      <c r="W632" s="121" t="s">
        <v>593</v>
      </c>
      <c r="X632" s="97"/>
      <c r="Y632" s="114" t="s">
        <v>4682</v>
      </c>
      <c r="Z632" s="114" t="s">
        <v>4683</v>
      </c>
    </row>
    <row r="633" spans="1:26" s="82" customFormat="1" ht="45" x14ac:dyDescent="0.25">
      <c r="A633" s="82" t="s">
        <v>4684</v>
      </c>
      <c r="B633" s="82" t="s">
        <v>4685</v>
      </c>
      <c r="C633" s="82" t="str">
        <f t="shared" ref="C633:C664" si="22">A633 &amp; " - " &amp; B633</f>
        <v>SC-191  - Sailor's Bethel United Methodist Church (Bethel)</v>
      </c>
      <c r="D633" s="96" t="s">
        <v>4686</v>
      </c>
      <c r="E633" s="96" t="s">
        <v>29</v>
      </c>
      <c r="F633" s="97" t="s">
        <v>191</v>
      </c>
      <c r="G633" s="97"/>
      <c r="H633" s="96"/>
      <c r="I633" s="99"/>
      <c r="J633" s="95">
        <v>21</v>
      </c>
      <c r="K633" s="95">
        <v>40</v>
      </c>
      <c r="L633" s="112">
        <v>38.570520000000002</v>
      </c>
      <c r="M633" s="112">
        <v>-75.619150000000005</v>
      </c>
      <c r="N633" s="101" t="s">
        <v>4687</v>
      </c>
      <c r="O633" s="82" t="s">
        <v>3855</v>
      </c>
      <c r="P633" s="82">
        <v>19931</v>
      </c>
      <c r="R633" s="82" t="s">
        <v>37</v>
      </c>
      <c r="T633" s="82" t="s">
        <v>435</v>
      </c>
      <c r="U633" s="97">
        <v>2004</v>
      </c>
      <c r="V633" s="97">
        <v>2004</v>
      </c>
      <c r="W633" s="121" t="s">
        <v>593</v>
      </c>
      <c r="X633" s="97"/>
      <c r="Y633" s="102" t="s">
        <v>4688</v>
      </c>
      <c r="Z633" s="102" t="s">
        <v>4689</v>
      </c>
    </row>
    <row r="634" spans="1:26" s="82" customFormat="1" x14ac:dyDescent="0.25">
      <c r="A634" s="7" t="s">
        <v>4690</v>
      </c>
      <c r="B634" s="7" t="s">
        <v>4317</v>
      </c>
      <c r="C634" s="7" t="str">
        <f t="shared" si="22"/>
        <v>SC-192  - UNASSIGNED</v>
      </c>
      <c r="D634" s="24"/>
      <c r="E634" s="24" t="s">
        <v>66</v>
      </c>
      <c r="F634" s="2"/>
      <c r="G634" s="2"/>
      <c r="H634" s="117"/>
      <c r="I634" s="31"/>
      <c r="J634" s="17"/>
      <c r="K634" s="17"/>
      <c r="L634" s="26"/>
      <c r="M634" s="26"/>
      <c r="N634" s="32"/>
      <c r="O634" s="1"/>
      <c r="P634" s="1"/>
      <c r="Q634" s="1"/>
      <c r="R634" s="1" t="s">
        <v>37</v>
      </c>
      <c r="S634" s="1"/>
      <c r="T634" s="1"/>
      <c r="U634" s="2"/>
      <c r="V634" s="2"/>
      <c r="W634" s="2"/>
      <c r="X634" s="2"/>
      <c r="Y634" s="4"/>
      <c r="Z634" s="4"/>
    </row>
    <row r="635" spans="1:26" s="82" customFormat="1" ht="38.25" x14ac:dyDescent="0.25">
      <c r="A635" s="82" t="s">
        <v>4691</v>
      </c>
      <c r="B635" s="82" t="s">
        <v>4692</v>
      </c>
      <c r="C635" s="82" t="str">
        <f t="shared" si="22"/>
        <v>SC-193  - Georgetown Train Station</v>
      </c>
      <c r="D635" s="96" t="s">
        <v>4693</v>
      </c>
      <c r="E635" s="96" t="s">
        <v>29</v>
      </c>
      <c r="F635" s="97" t="s">
        <v>30</v>
      </c>
      <c r="G635" s="97"/>
      <c r="H635" s="96"/>
      <c r="I635" s="99" t="s">
        <v>301</v>
      </c>
      <c r="J635" s="95">
        <v>19</v>
      </c>
      <c r="K635" s="95">
        <v>37</v>
      </c>
      <c r="L635" s="100" t="s">
        <v>4694</v>
      </c>
      <c r="M635" s="100" t="s">
        <v>4695</v>
      </c>
      <c r="N635" s="101" t="s">
        <v>4696</v>
      </c>
      <c r="O635" s="82" t="s">
        <v>3471</v>
      </c>
      <c r="P635" s="82">
        <v>19947</v>
      </c>
      <c r="R635" s="82" t="s">
        <v>37</v>
      </c>
      <c r="T635" s="82" t="s">
        <v>435</v>
      </c>
      <c r="U635" s="97">
        <v>2004</v>
      </c>
      <c r="V635" s="97">
        <v>2004</v>
      </c>
      <c r="W635" s="97" t="s">
        <v>593</v>
      </c>
      <c r="X635" s="97"/>
      <c r="Y635" s="102"/>
      <c r="Z635" s="102"/>
    </row>
    <row r="636" spans="1:26" s="82" customFormat="1" x14ac:dyDescent="0.25">
      <c r="A636" s="7" t="s">
        <v>4697</v>
      </c>
      <c r="B636" s="7" t="s">
        <v>4317</v>
      </c>
      <c r="C636" s="7" t="str">
        <f t="shared" si="22"/>
        <v>SC-194  - UNASSIGNED</v>
      </c>
      <c r="D636" s="24"/>
      <c r="E636" s="24" t="s">
        <v>66</v>
      </c>
      <c r="F636" s="2"/>
      <c r="G636" s="2"/>
      <c r="H636" s="117"/>
      <c r="I636" s="31"/>
      <c r="J636" s="17"/>
      <c r="K636" s="17"/>
      <c r="L636" s="26"/>
      <c r="M636" s="26"/>
      <c r="N636" s="32"/>
      <c r="O636" s="1"/>
      <c r="P636" s="1"/>
      <c r="Q636" s="1"/>
      <c r="R636" s="1" t="s">
        <v>37</v>
      </c>
      <c r="S636" s="1"/>
      <c r="T636" s="1"/>
      <c r="U636" s="2"/>
      <c r="V636" s="2"/>
      <c r="W636" s="2"/>
      <c r="X636" s="2"/>
      <c r="Y636" s="4"/>
      <c r="Z636" s="4"/>
    </row>
    <row r="637" spans="1:26" s="82" customFormat="1" ht="45" x14ac:dyDescent="0.25">
      <c r="A637" s="82" t="s">
        <v>4698</v>
      </c>
      <c r="B637" s="82" t="s">
        <v>4699</v>
      </c>
      <c r="C637" s="82" t="str">
        <f t="shared" si="22"/>
        <v>SC-195  - Mount Zion United Methodist Church (Laurel)</v>
      </c>
      <c r="D637" s="96" t="s">
        <v>4199</v>
      </c>
      <c r="E637" s="96" t="s">
        <v>29</v>
      </c>
      <c r="F637" s="97" t="s">
        <v>191</v>
      </c>
      <c r="G637" s="97"/>
      <c r="H637" s="96" t="s">
        <v>232</v>
      </c>
      <c r="I637" s="99" t="s">
        <v>4024</v>
      </c>
      <c r="J637" s="95">
        <v>21</v>
      </c>
      <c r="K637" s="95">
        <v>39</v>
      </c>
      <c r="L637" s="100" t="s">
        <v>4700</v>
      </c>
      <c r="M637" s="100" t="s">
        <v>4701</v>
      </c>
      <c r="N637" s="101" t="s">
        <v>4702</v>
      </c>
      <c r="O637" s="82" t="s">
        <v>3428</v>
      </c>
      <c r="P637" s="82">
        <v>19956</v>
      </c>
      <c r="R637" s="82" t="s">
        <v>37</v>
      </c>
      <c r="T637" s="82" t="s">
        <v>38</v>
      </c>
      <c r="U637" s="97">
        <v>2004</v>
      </c>
      <c r="V637" s="97">
        <v>2004</v>
      </c>
      <c r="W637" s="97" t="s">
        <v>39</v>
      </c>
      <c r="X637" s="97"/>
      <c r="Y637" s="131" t="s">
        <v>4703</v>
      </c>
      <c r="Z637" s="102" t="s">
        <v>4704</v>
      </c>
    </row>
    <row r="638" spans="1:26" s="82" customFormat="1" ht="38.25" x14ac:dyDescent="0.25">
      <c r="A638" s="82" t="s">
        <v>4705</v>
      </c>
      <c r="B638" s="82" t="s">
        <v>4706</v>
      </c>
      <c r="C638" s="82" t="str">
        <f t="shared" si="22"/>
        <v>SC-196  - Milton Public Library</v>
      </c>
      <c r="D638" s="96" t="s">
        <v>4707</v>
      </c>
      <c r="E638" s="96" t="s">
        <v>29</v>
      </c>
      <c r="F638" s="97" t="s">
        <v>30</v>
      </c>
      <c r="G638" s="97"/>
      <c r="H638" s="96"/>
      <c r="I638" s="99"/>
      <c r="J638" s="95">
        <v>6</v>
      </c>
      <c r="K638" s="95">
        <v>20</v>
      </c>
      <c r="L638" s="113">
        <v>38.778790000000001</v>
      </c>
      <c r="M638" s="113">
        <v>-75.311109999999999</v>
      </c>
      <c r="N638" s="101" t="s">
        <v>4708</v>
      </c>
      <c r="O638" s="82" t="s">
        <v>3534</v>
      </c>
      <c r="P638" s="82">
        <v>19968</v>
      </c>
      <c r="R638" s="82" t="s">
        <v>37</v>
      </c>
      <c r="T638" s="82" t="s">
        <v>435</v>
      </c>
      <c r="U638" s="97">
        <v>2004</v>
      </c>
      <c r="V638" s="97">
        <v>2004</v>
      </c>
      <c r="W638" s="97" t="s">
        <v>593</v>
      </c>
      <c r="X638" s="97"/>
      <c r="Y638" s="102"/>
      <c r="Z638" s="102"/>
    </row>
    <row r="639" spans="1:26" s="82" customFormat="1" ht="45" x14ac:dyDescent="0.25">
      <c r="A639" s="82" t="s">
        <v>4709</v>
      </c>
      <c r="B639" s="82" t="s">
        <v>4710</v>
      </c>
      <c r="C639" s="82" t="str">
        <f t="shared" si="22"/>
        <v>SC-197  - Stein Highway</v>
      </c>
      <c r="D639" s="96" t="s">
        <v>3738</v>
      </c>
      <c r="E639" s="96" t="s">
        <v>29</v>
      </c>
      <c r="F639" s="97" t="s">
        <v>30</v>
      </c>
      <c r="G639" s="97"/>
      <c r="H639" s="96" t="s">
        <v>1168</v>
      </c>
      <c r="I639" s="99" t="s">
        <v>4362</v>
      </c>
      <c r="J639" s="95">
        <v>21</v>
      </c>
      <c r="K639" s="95">
        <v>39</v>
      </c>
      <c r="L639" s="112">
        <v>38.64537</v>
      </c>
      <c r="M639" s="112">
        <v>-75.630049999999997</v>
      </c>
      <c r="N639" s="101" t="s">
        <v>4711</v>
      </c>
      <c r="O639" s="101" t="s">
        <v>3407</v>
      </c>
      <c r="P639" s="82">
        <v>19973</v>
      </c>
      <c r="R639" s="82" t="s">
        <v>37</v>
      </c>
      <c r="T639" s="82" t="s">
        <v>38</v>
      </c>
      <c r="U639" s="97">
        <v>2005</v>
      </c>
      <c r="V639" s="97">
        <v>2005</v>
      </c>
      <c r="W639" s="97" t="s">
        <v>39</v>
      </c>
      <c r="X639" s="97"/>
      <c r="Y639" s="210" t="s">
        <v>4712</v>
      </c>
      <c r="Z639" s="102" t="s">
        <v>4713</v>
      </c>
    </row>
    <row r="640" spans="1:26" s="20" customFormat="1" ht="75" x14ac:dyDescent="0.25">
      <c r="A640" s="82" t="s">
        <v>4714</v>
      </c>
      <c r="B640" s="82" t="s">
        <v>4715</v>
      </c>
      <c r="C640" s="82" t="str">
        <f t="shared" si="22"/>
        <v>SC-198  - Town of Ellendale</v>
      </c>
      <c r="D640" s="96" t="s">
        <v>4630</v>
      </c>
      <c r="E640" s="96" t="s">
        <v>346</v>
      </c>
      <c r="F640" s="97" t="s">
        <v>205</v>
      </c>
      <c r="G640" s="97"/>
      <c r="H640" s="96"/>
      <c r="I640" s="99" t="s">
        <v>4716</v>
      </c>
      <c r="J640" s="95">
        <v>18</v>
      </c>
      <c r="K640" s="95">
        <v>36</v>
      </c>
      <c r="L640" s="100" t="s">
        <v>4631</v>
      </c>
      <c r="M640" s="100" t="s">
        <v>4717</v>
      </c>
      <c r="N640" s="101" t="s">
        <v>4718</v>
      </c>
      <c r="O640" s="82" t="s">
        <v>4634</v>
      </c>
      <c r="P640" s="82">
        <v>19941</v>
      </c>
      <c r="Q640" s="82"/>
      <c r="R640" s="82" t="s">
        <v>37</v>
      </c>
      <c r="S640" s="82" t="s">
        <v>4719</v>
      </c>
      <c r="T640" s="82" t="s">
        <v>435</v>
      </c>
      <c r="U640" s="97">
        <v>2005</v>
      </c>
      <c r="V640" s="97">
        <v>2005</v>
      </c>
      <c r="W640" s="97" t="s">
        <v>593</v>
      </c>
      <c r="X640" s="97"/>
      <c r="Y640" s="102"/>
      <c r="Z640" s="102"/>
    </row>
    <row r="641" spans="1:26" s="82" customFormat="1" ht="75" x14ac:dyDescent="0.25">
      <c r="A641" s="82" t="s">
        <v>4720</v>
      </c>
      <c r="B641" s="82" t="s">
        <v>4721</v>
      </c>
      <c r="C641" s="82" t="str">
        <f t="shared" si="22"/>
        <v>SC-199 - Governor James Ponder</v>
      </c>
      <c r="D641" s="96" t="s">
        <v>4722</v>
      </c>
      <c r="E641" s="96" t="s">
        <v>29</v>
      </c>
      <c r="F641" s="97" t="s">
        <v>62</v>
      </c>
      <c r="G641" s="97"/>
      <c r="H641" s="96"/>
      <c r="I641" s="99" t="s">
        <v>4716</v>
      </c>
      <c r="J641" s="95">
        <v>6</v>
      </c>
      <c r="K641" s="95">
        <v>20</v>
      </c>
      <c r="L641" s="100" t="s">
        <v>4723</v>
      </c>
      <c r="M641" s="100" t="s">
        <v>4724</v>
      </c>
      <c r="N641" s="101" t="s">
        <v>4725</v>
      </c>
      <c r="O641" s="82" t="s">
        <v>3534</v>
      </c>
      <c r="P641" s="82">
        <v>19968</v>
      </c>
      <c r="R641" s="82" t="s">
        <v>37</v>
      </c>
      <c r="S641" s="82" t="s">
        <v>4726</v>
      </c>
      <c r="T641" s="82" t="s">
        <v>435</v>
      </c>
      <c r="U641" s="97">
        <v>2005</v>
      </c>
      <c r="V641" s="97">
        <v>2005</v>
      </c>
      <c r="W641" s="97" t="s">
        <v>593</v>
      </c>
      <c r="X641" s="97"/>
      <c r="Y641" s="102"/>
      <c r="Z641" s="102"/>
    </row>
    <row r="642" spans="1:26" s="82" customFormat="1" ht="45" x14ac:dyDescent="0.25">
      <c r="A642" s="82" t="s">
        <v>4727</v>
      </c>
      <c r="B642" s="82" t="s">
        <v>4728</v>
      </c>
      <c r="C642" s="82" t="str">
        <f t="shared" si="22"/>
        <v>SC-200  - Edward Redfield</v>
      </c>
      <c r="D642" s="96" t="s">
        <v>3788</v>
      </c>
      <c r="E642" s="96" t="s">
        <v>29</v>
      </c>
      <c r="F642" s="97" t="s">
        <v>62</v>
      </c>
      <c r="G642" s="97"/>
      <c r="H642" s="96"/>
      <c r="I642" s="99" t="s">
        <v>4729</v>
      </c>
      <c r="J642" s="95">
        <v>18</v>
      </c>
      <c r="K642" s="95">
        <v>35</v>
      </c>
      <c r="L642" s="113">
        <v>38.742579999999997</v>
      </c>
      <c r="M642" s="112">
        <v>-75.600082</v>
      </c>
      <c r="N642" s="101" t="s">
        <v>4730</v>
      </c>
      <c r="O642" s="82" t="s">
        <v>3400</v>
      </c>
      <c r="P642" s="82">
        <v>19933</v>
      </c>
      <c r="R642" s="82" t="s">
        <v>37</v>
      </c>
      <c r="T642" s="82" t="s">
        <v>435</v>
      </c>
      <c r="U642" s="97">
        <v>2006</v>
      </c>
      <c r="V642" s="97">
        <v>2006</v>
      </c>
      <c r="W642" s="97" t="s">
        <v>593</v>
      </c>
      <c r="X642" s="97"/>
      <c r="Y642" s="114" t="s">
        <v>4731</v>
      </c>
      <c r="Z642" s="102" t="s">
        <v>4732</v>
      </c>
    </row>
    <row r="643" spans="1:26" s="1" customFormat="1" ht="38.25" x14ac:dyDescent="0.25">
      <c r="A643" s="82" t="s">
        <v>4733</v>
      </c>
      <c r="B643" s="82" t="s">
        <v>4734</v>
      </c>
      <c r="C643" s="82" t="str">
        <f t="shared" si="22"/>
        <v>SC-201  - Town of Millsboro</v>
      </c>
      <c r="D643" s="96" t="s">
        <v>4735</v>
      </c>
      <c r="E643" s="96" t="s">
        <v>29</v>
      </c>
      <c r="F643" s="97" t="s">
        <v>205</v>
      </c>
      <c r="G643" s="97"/>
      <c r="H643" s="96"/>
      <c r="I643" s="99" t="s">
        <v>4736</v>
      </c>
      <c r="J643" s="95">
        <v>20</v>
      </c>
      <c r="K643" s="95">
        <v>41</v>
      </c>
      <c r="L643" s="112">
        <v>38.5867</v>
      </c>
      <c r="M643" s="112">
        <v>-75.290790000000001</v>
      </c>
      <c r="N643" s="101" t="s">
        <v>4737</v>
      </c>
      <c r="O643" s="101" t="s">
        <v>3671</v>
      </c>
      <c r="P643" s="82">
        <v>19966</v>
      </c>
      <c r="Q643" s="82"/>
      <c r="R643" s="82" t="s">
        <v>37</v>
      </c>
      <c r="S643" s="82"/>
      <c r="T643" s="82" t="s">
        <v>435</v>
      </c>
      <c r="U643" s="97">
        <v>2006</v>
      </c>
      <c r="V643" s="97">
        <v>2006</v>
      </c>
      <c r="W643" s="97" t="s">
        <v>593</v>
      </c>
      <c r="X643" s="97"/>
      <c r="Y643" s="102"/>
      <c r="Z643" s="102"/>
    </row>
    <row r="644" spans="1:26" s="82" customFormat="1" ht="63.75" x14ac:dyDescent="0.25">
      <c r="A644" s="82" t="s">
        <v>4738</v>
      </c>
      <c r="B644" s="82" t="s">
        <v>4739</v>
      </c>
      <c r="C644" s="82" t="str">
        <f t="shared" si="22"/>
        <v>SC-202  - St. Peter‘s Episcopal Church</v>
      </c>
      <c r="D644" s="96" t="s">
        <v>4570</v>
      </c>
      <c r="E644" s="96" t="s">
        <v>29</v>
      </c>
      <c r="F644" s="97" t="s">
        <v>191</v>
      </c>
      <c r="G644" s="97"/>
      <c r="H644" s="96" t="s">
        <v>1141</v>
      </c>
      <c r="I644" s="99" t="s">
        <v>4740</v>
      </c>
      <c r="J644" s="95">
        <v>6</v>
      </c>
      <c r="K644" s="95">
        <v>20</v>
      </c>
      <c r="L644" s="113" t="s">
        <v>4741</v>
      </c>
      <c r="M644" s="112">
        <v>-75.140550000000005</v>
      </c>
      <c r="N644" s="101" t="s">
        <v>4742</v>
      </c>
      <c r="O644" s="82" t="s">
        <v>3548</v>
      </c>
      <c r="P644" s="82">
        <v>19958</v>
      </c>
      <c r="Q644" s="82" t="s">
        <v>4743</v>
      </c>
      <c r="R644" s="82" t="s">
        <v>37</v>
      </c>
      <c r="T644" s="82" t="s">
        <v>592</v>
      </c>
      <c r="U644" s="97">
        <v>2006</v>
      </c>
      <c r="V644" s="97">
        <v>2006</v>
      </c>
      <c r="W644" s="97" t="s">
        <v>593</v>
      </c>
      <c r="X644" s="97"/>
      <c r="Y644" s="114" t="s">
        <v>4744</v>
      </c>
      <c r="Z644" s="114" t="s">
        <v>4745</v>
      </c>
    </row>
    <row r="645" spans="1:26" ht="30" x14ac:dyDescent="0.25">
      <c r="A645" s="82" t="s">
        <v>4746</v>
      </c>
      <c r="B645" s="82" t="s">
        <v>4747</v>
      </c>
      <c r="C645" s="82" t="str">
        <f t="shared" si="22"/>
        <v>SC-203  - Hope Lodge No. 42</v>
      </c>
      <c r="D645" s="96" t="s">
        <v>4385</v>
      </c>
      <c r="E645" s="96" t="s">
        <v>29</v>
      </c>
      <c r="F645" s="97" t="s">
        <v>42</v>
      </c>
      <c r="G645" s="97"/>
      <c r="H645" s="96"/>
      <c r="I645" s="99" t="s">
        <v>2169</v>
      </c>
      <c r="J645" s="95">
        <v>21</v>
      </c>
      <c r="K645" s="95">
        <v>39</v>
      </c>
      <c r="L645" s="100" t="s">
        <v>4748</v>
      </c>
      <c r="M645" s="100" t="s">
        <v>4749</v>
      </c>
      <c r="N645" s="101" t="s">
        <v>4750</v>
      </c>
      <c r="O645" s="82" t="s">
        <v>3428</v>
      </c>
      <c r="P645" s="82">
        <v>19956</v>
      </c>
      <c r="Q645" s="82"/>
      <c r="R645" s="82" t="s">
        <v>37</v>
      </c>
      <c r="S645" s="82" t="s">
        <v>4751</v>
      </c>
      <c r="T645" s="82" t="s">
        <v>435</v>
      </c>
      <c r="U645" s="97">
        <v>2006</v>
      </c>
      <c r="V645" s="97">
        <v>2006</v>
      </c>
      <c r="W645" s="97" t="s">
        <v>593</v>
      </c>
      <c r="X645" s="97"/>
      <c r="Y645" s="102"/>
      <c r="Z645" s="102"/>
    </row>
    <row r="646" spans="1:26" s="82" customFormat="1" ht="38.25" x14ac:dyDescent="0.25">
      <c r="A646" s="82" t="s">
        <v>4752</v>
      </c>
      <c r="B646" s="82" t="s">
        <v>4753</v>
      </c>
      <c r="C646" s="82" t="str">
        <f t="shared" si="22"/>
        <v>SC-204  - Home of Major Henry Fisher</v>
      </c>
      <c r="D646" s="96" t="s">
        <v>4754</v>
      </c>
      <c r="E646" s="96" t="s">
        <v>29</v>
      </c>
      <c r="F646" s="97" t="s">
        <v>30</v>
      </c>
      <c r="G646" s="97"/>
      <c r="H646" s="96"/>
      <c r="I646" s="99" t="s">
        <v>4755</v>
      </c>
      <c r="J646" s="95">
        <v>6</v>
      </c>
      <c r="K646" s="95">
        <v>20</v>
      </c>
      <c r="L646" s="100" t="s">
        <v>4756</v>
      </c>
      <c r="M646" s="100" t="s">
        <v>4757</v>
      </c>
      <c r="N646" s="101" t="s">
        <v>4758</v>
      </c>
      <c r="O646" s="82" t="s">
        <v>3548</v>
      </c>
      <c r="P646" s="82">
        <v>19958</v>
      </c>
      <c r="R646" s="82" t="s">
        <v>37</v>
      </c>
      <c r="T646" s="82" t="s">
        <v>435</v>
      </c>
      <c r="U646" s="97">
        <v>2006</v>
      </c>
      <c r="V646" s="97">
        <v>2006</v>
      </c>
      <c r="W646" s="97" t="s">
        <v>593</v>
      </c>
      <c r="X646" s="97"/>
      <c r="Y646" s="102"/>
      <c r="Z646" s="102"/>
    </row>
    <row r="647" spans="1:26" s="82" customFormat="1" ht="45" x14ac:dyDescent="0.25">
      <c r="A647" s="82" t="s">
        <v>4759</v>
      </c>
      <c r="B647" s="82" t="s">
        <v>4760</v>
      </c>
      <c r="C647" s="82" t="str">
        <f t="shared" si="22"/>
        <v>SC-205  - Civil Air Patrol - Coastal Patrol Base Two</v>
      </c>
      <c r="D647" s="96" t="s">
        <v>4761</v>
      </c>
      <c r="E647" s="96" t="s">
        <v>346</v>
      </c>
      <c r="F647" s="97" t="s">
        <v>30</v>
      </c>
      <c r="G647" s="97"/>
      <c r="H647" s="96" t="s">
        <v>857</v>
      </c>
      <c r="I647" s="99" t="s">
        <v>494</v>
      </c>
      <c r="J647" s="95">
        <v>6</v>
      </c>
      <c r="K647" s="95">
        <v>14</v>
      </c>
      <c r="L647" s="100" t="s">
        <v>4762</v>
      </c>
      <c r="M647" s="100" t="s">
        <v>4763</v>
      </c>
      <c r="N647" s="101" t="s">
        <v>4764</v>
      </c>
      <c r="O647" s="82" t="s">
        <v>3810</v>
      </c>
      <c r="P647" s="82">
        <v>19971</v>
      </c>
      <c r="R647" s="82" t="s">
        <v>4765</v>
      </c>
      <c r="T647" s="82" t="s">
        <v>435</v>
      </c>
      <c r="U647" s="97">
        <v>2006</v>
      </c>
      <c r="V647" s="97">
        <v>2006</v>
      </c>
      <c r="W647" s="97" t="s">
        <v>593</v>
      </c>
      <c r="X647" s="97"/>
      <c r="Y647" s="102" t="s">
        <v>4766</v>
      </c>
      <c r="Z647" s="102" t="s">
        <v>4767</v>
      </c>
    </row>
    <row r="648" spans="1:26" s="82" customFormat="1" ht="45" x14ac:dyDescent="0.25">
      <c r="A648" s="82" t="s">
        <v>4768</v>
      </c>
      <c r="B648" s="82" t="s">
        <v>4638</v>
      </c>
      <c r="C648" s="82" t="str">
        <f t="shared" si="22"/>
        <v>SC-206  - Delaware Breakwater East End Lighthouse</v>
      </c>
      <c r="D648" s="96" t="s">
        <v>4769</v>
      </c>
      <c r="E648" s="96" t="s">
        <v>4770</v>
      </c>
      <c r="F648" s="97" t="s">
        <v>30</v>
      </c>
      <c r="G648" s="97"/>
      <c r="H648" s="96"/>
      <c r="I648" s="99" t="s">
        <v>2362</v>
      </c>
      <c r="J648" s="95">
        <v>6</v>
      </c>
      <c r="K648" s="95">
        <v>14</v>
      </c>
      <c r="L648" s="100"/>
      <c r="M648" s="100"/>
      <c r="N648" s="101" t="s">
        <v>4771</v>
      </c>
      <c r="O648" s="82" t="s">
        <v>3548</v>
      </c>
      <c r="P648" s="82">
        <v>19958</v>
      </c>
      <c r="R648" s="82" t="s">
        <v>37</v>
      </c>
      <c r="S648" s="82" t="s">
        <v>4772</v>
      </c>
      <c r="T648" s="82" t="s">
        <v>435</v>
      </c>
      <c r="U648" s="97">
        <v>2004</v>
      </c>
      <c r="V648" s="97">
        <v>2004</v>
      </c>
      <c r="W648" s="97" t="s">
        <v>593</v>
      </c>
      <c r="X648" s="97"/>
      <c r="Y648" s="102"/>
      <c r="Z648" s="102"/>
    </row>
    <row r="649" spans="1:26" s="82" customFormat="1" ht="42.75" x14ac:dyDescent="0.25">
      <c r="A649" s="82" t="s">
        <v>4773</v>
      </c>
      <c r="B649" s="82" t="s">
        <v>4774</v>
      </c>
      <c r="C649" s="82" t="str">
        <f t="shared" si="22"/>
        <v>SC-207  - Governor Joseph Maull Carey</v>
      </c>
      <c r="D649" s="96" t="s">
        <v>4775</v>
      </c>
      <c r="E649" s="96" t="s">
        <v>29</v>
      </c>
      <c r="F649" s="97" t="s">
        <v>62</v>
      </c>
      <c r="G649" s="97"/>
      <c r="H649" s="96" t="s">
        <v>84</v>
      </c>
      <c r="I649" s="99" t="s">
        <v>4776</v>
      </c>
      <c r="J649" s="95">
        <v>6</v>
      </c>
      <c r="K649" s="95">
        <v>20</v>
      </c>
      <c r="L649" s="100" t="s">
        <v>4777</v>
      </c>
      <c r="M649" s="100" t="s">
        <v>4778</v>
      </c>
      <c r="N649" s="101" t="s">
        <v>4779</v>
      </c>
      <c r="O649" s="82" t="s">
        <v>3534</v>
      </c>
      <c r="P649" s="82">
        <v>19968</v>
      </c>
      <c r="R649" s="82" t="s">
        <v>37</v>
      </c>
      <c r="T649" s="82" t="s">
        <v>435</v>
      </c>
      <c r="U649" s="97">
        <v>2006</v>
      </c>
      <c r="V649" s="97">
        <v>2006</v>
      </c>
      <c r="W649" s="97" t="s">
        <v>593</v>
      </c>
      <c r="X649" s="97">
        <v>2020</v>
      </c>
      <c r="Y649" s="102"/>
      <c r="Z649" s="102"/>
    </row>
    <row r="650" spans="1:26" s="82" customFormat="1" ht="45" x14ac:dyDescent="0.25">
      <c r="A650" s="82" t="s">
        <v>4780</v>
      </c>
      <c r="B650" s="82" t="s">
        <v>4781</v>
      </c>
      <c r="C650" s="82" t="str">
        <f t="shared" si="22"/>
        <v>SC-208  - Carey Storehouse</v>
      </c>
      <c r="D650" s="96" t="s">
        <v>4782</v>
      </c>
      <c r="E650" s="96" t="s">
        <v>29</v>
      </c>
      <c r="F650" s="97" t="s">
        <v>30</v>
      </c>
      <c r="G650" s="97"/>
      <c r="H650" s="96" t="s">
        <v>1002</v>
      </c>
      <c r="I650" s="99" t="s">
        <v>4139</v>
      </c>
      <c r="J650" s="95">
        <v>6</v>
      </c>
      <c r="K650" s="95">
        <v>20</v>
      </c>
      <c r="L650" s="113">
        <v>38.780009999999997</v>
      </c>
      <c r="M650" s="100" t="s">
        <v>4783</v>
      </c>
      <c r="N650" s="101" t="s">
        <v>4784</v>
      </c>
      <c r="O650" s="82" t="s">
        <v>3534</v>
      </c>
      <c r="P650" s="82">
        <v>19968</v>
      </c>
      <c r="R650" s="82" t="s">
        <v>37</v>
      </c>
      <c r="T650" s="82" t="s">
        <v>435</v>
      </c>
      <c r="U650" s="97">
        <v>2006</v>
      </c>
      <c r="V650" s="97">
        <v>2006</v>
      </c>
      <c r="W650" s="97" t="s">
        <v>593</v>
      </c>
      <c r="X650" s="97"/>
      <c r="Y650" s="131" t="s">
        <v>4785</v>
      </c>
      <c r="Z650" s="102" t="s">
        <v>4786</v>
      </c>
    </row>
    <row r="651" spans="1:26" s="82" customFormat="1" ht="45" x14ac:dyDescent="0.25">
      <c r="A651" s="82" t="s">
        <v>4787</v>
      </c>
      <c r="B651" s="82" t="s">
        <v>4788</v>
      </c>
      <c r="C651" s="82" t="str">
        <f t="shared" si="22"/>
        <v>SC-209  - Chaplain's Chapel United Methodist Church</v>
      </c>
      <c r="D651" s="96" t="s">
        <v>4789</v>
      </c>
      <c r="E651" s="96" t="s">
        <v>130</v>
      </c>
      <c r="F651" s="97" t="s">
        <v>191</v>
      </c>
      <c r="G651" s="97"/>
      <c r="H651" s="96" t="s">
        <v>2417</v>
      </c>
      <c r="I651" s="99" t="s">
        <v>4394</v>
      </c>
      <c r="J651" s="95">
        <v>18</v>
      </c>
      <c r="K651" s="95">
        <v>35</v>
      </c>
      <c r="L651" s="113" t="s">
        <v>4790</v>
      </c>
      <c r="M651" s="112">
        <v>-75.509690000000006</v>
      </c>
      <c r="N651" s="101" t="s">
        <v>4791</v>
      </c>
      <c r="O651" s="82" t="s">
        <v>3400</v>
      </c>
      <c r="P651" s="82">
        <v>19933</v>
      </c>
      <c r="R651" s="82" t="s">
        <v>37</v>
      </c>
      <c r="T651" s="82" t="s">
        <v>435</v>
      </c>
      <c r="U651" s="97">
        <v>2006</v>
      </c>
      <c r="V651" s="97">
        <v>2006</v>
      </c>
      <c r="W651" s="97" t="s">
        <v>593</v>
      </c>
      <c r="X651" s="97"/>
      <c r="Y651" s="131" t="s">
        <v>4792</v>
      </c>
      <c r="Z651" s="131" t="s">
        <v>4793</v>
      </c>
    </row>
    <row r="652" spans="1:26" s="82" customFormat="1" ht="51" x14ac:dyDescent="0.25">
      <c r="A652" s="82" t="s">
        <v>4794</v>
      </c>
      <c r="B652" s="82" t="s">
        <v>4795</v>
      </c>
      <c r="C652" s="82" t="str">
        <f t="shared" si="22"/>
        <v>SC-210  - Saint Mark's Episcopal Church</v>
      </c>
      <c r="D652" s="96" t="s">
        <v>4796</v>
      </c>
      <c r="E652" s="96" t="s">
        <v>29</v>
      </c>
      <c r="F652" s="97" t="s">
        <v>191</v>
      </c>
      <c r="G652" s="97"/>
      <c r="H652" s="96"/>
      <c r="I652" s="99" t="s">
        <v>4797</v>
      </c>
      <c r="J652" s="95">
        <v>20</v>
      </c>
      <c r="K652" s="95">
        <v>41</v>
      </c>
      <c r="L652" s="112">
        <v>38.592199999999998</v>
      </c>
      <c r="M652" s="112">
        <v>-75.293009999999995</v>
      </c>
      <c r="N652" s="101" t="s">
        <v>4798</v>
      </c>
      <c r="O652" s="101" t="s">
        <v>3671</v>
      </c>
      <c r="P652" s="82">
        <v>19966</v>
      </c>
      <c r="R652" s="82" t="s">
        <v>37</v>
      </c>
      <c r="T652" s="82" t="s">
        <v>435</v>
      </c>
      <c r="U652" s="97">
        <v>2006</v>
      </c>
      <c r="V652" s="97">
        <v>2006</v>
      </c>
      <c r="W652" s="97" t="s">
        <v>593</v>
      </c>
      <c r="X652" s="97"/>
      <c r="Y652" s="102" t="s">
        <v>4799</v>
      </c>
      <c r="Z652" s="102" t="s">
        <v>4800</v>
      </c>
    </row>
    <row r="653" spans="1:26" s="82" customFormat="1" ht="45" x14ac:dyDescent="0.25">
      <c r="A653" s="82" t="s">
        <v>4801</v>
      </c>
      <c r="B653" s="82" t="s">
        <v>4802</v>
      </c>
      <c r="C653" s="82" t="str">
        <f t="shared" si="22"/>
        <v>SC-211  - Governor William H. Ross</v>
      </c>
      <c r="D653" s="96" t="s">
        <v>4131</v>
      </c>
      <c r="E653" s="96" t="s">
        <v>346</v>
      </c>
      <c r="F653" s="97" t="s">
        <v>62</v>
      </c>
      <c r="G653" s="97"/>
      <c r="H653" s="96"/>
      <c r="I653" s="99" t="s">
        <v>4362</v>
      </c>
      <c r="J653" s="95">
        <v>21</v>
      </c>
      <c r="K653" s="95">
        <v>39</v>
      </c>
      <c r="L653" s="113" t="s">
        <v>4803</v>
      </c>
      <c r="M653" s="112">
        <v>-75.60915</v>
      </c>
      <c r="N653" s="101" t="s">
        <v>4804</v>
      </c>
      <c r="O653" s="101" t="s">
        <v>3407</v>
      </c>
      <c r="P653" s="82">
        <v>19973</v>
      </c>
      <c r="R653" s="82" t="s">
        <v>37</v>
      </c>
      <c r="T653" s="82" t="s">
        <v>435</v>
      </c>
      <c r="U653" s="97">
        <v>2006</v>
      </c>
      <c r="V653" s="97">
        <v>2006</v>
      </c>
      <c r="W653" s="97" t="s">
        <v>593</v>
      </c>
      <c r="X653" s="97"/>
      <c r="Y653" s="102" t="s">
        <v>4805</v>
      </c>
      <c r="Z653" s="102" t="s">
        <v>4806</v>
      </c>
    </row>
    <row r="654" spans="1:26" s="82" customFormat="1" ht="45" x14ac:dyDescent="0.25">
      <c r="A654" s="82" t="s">
        <v>4807</v>
      </c>
      <c r="B654" s="82" t="s">
        <v>4808</v>
      </c>
      <c r="C654" s="82" t="str">
        <f t="shared" si="22"/>
        <v>SC-212  - Home of John J. Williams “Conscience of the Senate”</v>
      </c>
      <c r="D654" s="96" t="s">
        <v>4809</v>
      </c>
      <c r="E654" s="96" t="s">
        <v>29</v>
      </c>
      <c r="F654" s="97" t="s">
        <v>30</v>
      </c>
      <c r="G654" s="97"/>
      <c r="H654" s="96"/>
      <c r="I654" s="99" t="s">
        <v>4810</v>
      </c>
      <c r="J654" s="95">
        <v>20</v>
      </c>
      <c r="K654" s="95">
        <v>41</v>
      </c>
      <c r="L654" s="100" t="s">
        <v>4811</v>
      </c>
      <c r="M654" s="100" t="s">
        <v>4812</v>
      </c>
      <c r="N654" s="101" t="s">
        <v>4813</v>
      </c>
      <c r="O654" s="82" t="s">
        <v>3671</v>
      </c>
      <c r="P654" s="82">
        <v>19966</v>
      </c>
      <c r="R654" s="82" t="s">
        <v>37</v>
      </c>
      <c r="S654" s="82" t="s">
        <v>4814</v>
      </c>
      <c r="T654" s="82" t="s">
        <v>38</v>
      </c>
      <c r="U654" s="97">
        <v>2007</v>
      </c>
      <c r="V654" s="97">
        <v>2007</v>
      </c>
      <c r="W654" s="97" t="s">
        <v>1292</v>
      </c>
      <c r="X654" s="97">
        <v>2021</v>
      </c>
      <c r="Y654" s="102" t="s">
        <v>4815</v>
      </c>
      <c r="Z654" s="102" t="s">
        <v>4816</v>
      </c>
    </row>
    <row r="655" spans="1:26" s="82" customFormat="1" ht="45" x14ac:dyDescent="0.25">
      <c r="A655" s="82" t="s">
        <v>4817</v>
      </c>
      <c r="B655" s="82" t="s">
        <v>4818</v>
      </c>
      <c r="C655" s="82" t="str">
        <f t="shared" si="22"/>
        <v>SC-213  - Ocean View Presbyterian Church</v>
      </c>
      <c r="D655" s="96" t="s">
        <v>3815</v>
      </c>
      <c r="E655" s="96" t="s">
        <v>29</v>
      </c>
      <c r="F655" s="97" t="s">
        <v>191</v>
      </c>
      <c r="G655" s="97"/>
      <c r="H655" s="96" t="s">
        <v>541</v>
      </c>
      <c r="I655" s="99" t="s">
        <v>4616</v>
      </c>
      <c r="J655" s="95">
        <v>20</v>
      </c>
      <c r="K655" s="95">
        <v>38</v>
      </c>
      <c r="L655" s="100" t="s">
        <v>4819</v>
      </c>
      <c r="M655" s="100" t="s">
        <v>4820</v>
      </c>
      <c r="N655" s="101" t="s">
        <v>4821</v>
      </c>
      <c r="O655" s="82" t="s">
        <v>3846</v>
      </c>
      <c r="P655" s="82">
        <v>19970</v>
      </c>
      <c r="R655" s="82" t="s">
        <v>37</v>
      </c>
      <c r="T655" s="82" t="s">
        <v>435</v>
      </c>
      <c r="U655" s="97">
        <v>2007</v>
      </c>
      <c r="V655" s="97">
        <v>2007</v>
      </c>
      <c r="W655" s="97" t="s">
        <v>593</v>
      </c>
      <c r="X655" s="97"/>
      <c r="Y655" s="103" t="s">
        <v>4822</v>
      </c>
      <c r="Z655" s="102" t="s">
        <v>4823</v>
      </c>
    </row>
    <row r="656" spans="1:26" s="82" customFormat="1" ht="63.75" x14ac:dyDescent="0.25">
      <c r="A656" s="82" t="s">
        <v>4824</v>
      </c>
      <c r="B656" s="82" t="s">
        <v>4825</v>
      </c>
      <c r="C656" s="82" t="str">
        <f t="shared" si="22"/>
        <v>SC-214  - Menhaden Fishing Industry</v>
      </c>
      <c r="D656" s="96" t="s">
        <v>4570</v>
      </c>
      <c r="E656" s="96" t="s">
        <v>29</v>
      </c>
      <c r="F656" s="97" t="s">
        <v>30</v>
      </c>
      <c r="G656" s="97"/>
      <c r="H656" s="115" t="s">
        <v>165</v>
      </c>
      <c r="I656" s="99" t="s">
        <v>4826</v>
      </c>
      <c r="J656" s="95">
        <v>6</v>
      </c>
      <c r="K656" s="95">
        <v>20</v>
      </c>
      <c r="L656" s="100" t="s">
        <v>4827</v>
      </c>
      <c r="M656" s="100" t="s">
        <v>4828</v>
      </c>
      <c r="N656" s="101" t="s">
        <v>4829</v>
      </c>
      <c r="O656" s="82" t="s">
        <v>3548</v>
      </c>
      <c r="P656" s="82">
        <v>19958</v>
      </c>
      <c r="Q656" s="82" t="s">
        <v>4830</v>
      </c>
      <c r="R656" s="82" t="s">
        <v>37</v>
      </c>
      <c r="S656" s="102" t="s">
        <v>4831</v>
      </c>
      <c r="T656" s="82" t="s">
        <v>435</v>
      </c>
      <c r="U656" s="97">
        <v>2007</v>
      </c>
      <c r="V656" s="97">
        <v>2007</v>
      </c>
      <c r="W656" s="97" t="s">
        <v>593</v>
      </c>
      <c r="X656" s="97"/>
      <c r="Y656" s="102" t="s">
        <v>4832</v>
      </c>
      <c r="Z656" s="102" t="s">
        <v>4833</v>
      </c>
    </row>
    <row r="657" spans="1:26" s="82" customFormat="1" ht="38.25" x14ac:dyDescent="0.25">
      <c r="A657" s="82" t="s">
        <v>4834</v>
      </c>
      <c r="B657" s="82" t="s">
        <v>4835</v>
      </c>
      <c r="C657" s="82" t="str">
        <f t="shared" si="22"/>
        <v>SC-215  - Rising Sun Lodge #4, F. &amp; A.M., P.H.A.</v>
      </c>
      <c r="D657" s="96" t="s">
        <v>4836</v>
      </c>
      <c r="E657" s="96" t="s">
        <v>346</v>
      </c>
      <c r="F657" s="97" t="s">
        <v>42</v>
      </c>
      <c r="G657" s="97"/>
      <c r="H657" s="96"/>
      <c r="I657" s="99" t="s">
        <v>4139</v>
      </c>
      <c r="J657" s="95">
        <v>6</v>
      </c>
      <c r="K657" s="95">
        <v>20</v>
      </c>
      <c r="L657" s="100" t="s">
        <v>4837</v>
      </c>
      <c r="M657" s="100" t="s">
        <v>4838</v>
      </c>
      <c r="N657" s="101" t="s">
        <v>4839</v>
      </c>
      <c r="O657" s="82" t="s">
        <v>3534</v>
      </c>
      <c r="P657" s="82">
        <v>19968</v>
      </c>
      <c r="R657" s="82" t="s">
        <v>37</v>
      </c>
      <c r="S657" s="82" t="s">
        <v>4840</v>
      </c>
      <c r="T657" s="82" t="s">
        <v>435</v>
      </c>
      <c r="U657" s="97">
        <v>2007</v>
      </c>
      <c r="V657" s="97">
        <v>2007</v>
      </c>
      <c r="W657" s="97" t="s">
        <v>593</v>
      </c>
      <c r="X657" s="97"/>
      <c r="Y657" s="102"/>
      <c r="Z657" s="102"/>
    </row>
    <row r="658" spans="1:26" s="82" customFormat="1" ht="45" x14ac:dyDescent="0.25">
      <c r="A658" s="82" t="s">
        <v>4841</v>
      </c>
      <c r="B658" s="82" t="s">
        <v>4842</v>
      </c>
      <c r="C658" s="82" t="str">
        <f t="shared" si="22"/>
        <v>SC-216  - Golden Rule Lodge #17, I.O.O.F.</v>
      </c>
      <c r="D658" s="96" t="s">
        <v>4843</v>
      </c>
      <c r="E658" s="96" t="s">
        <v>346</v>
      </c>
      <c r="F658" s="97" t="s">
        <v>42</v>
      </c>
      <c r="G658" s="97"/>
      <c r="H658" s="96"/>
      <c r="I658" s="99" t="s">
        <v>4139</v>
      </c>
      <c r="J658" s="95">
        <v>6</v>
      </c>
      <c r="K658" s="95">
        <v>20</v>
      </c>
      <c r="L658" s="100" t="s">
        <v>4844</v>
      </c>
      <c r="M658" s="100" t="s">
        <v>4845</v>
      </c>
      <c r="N658" s="101" t="s">
        <v>4846</v>
      </c>
      <c r="O658" s="82" t="s">
        <v>3534</v>
      </c>
      <c r="P658" s="82">
        <v>19968</v>
      </c>
      <c r="R658" s="82" t="s">
        <v>37</v>
      </c>
      <c r="S658" s="82" t="s">
        <v>4847</v>
      </c>
      <c r="T658" s="82" t="s">
        <v>435</v>
      </c>
      <c r="U658" s="97">
        <v>2007</v>
      </c>
      <c r="V658" s="97">
        <v>2007</v>
      </c>
      <c r="W658" s="97" t="s">
        <v>593</v>
      </c>
      <c r="X658" s="97"/>
      <c r="Y658" s="102"/>
      <c r="Z658" s="102"/>
    </row>
    <row r="659" spans="1:26" s="82" customFormat="1" ht="45" x14ac:dyDescent="0.25">
      <c r="A659" s="82" t="s">
        <v>4848</v>
      </c>
      <c r="B659" s="82" t="s">
        <v>4849</v>
      </c>
      <c r="C659" s="82" t="str">
        <f t="shared" si="22"/>
        <v>SC-217  - Milton Museum</v>
      </c>
      <c r="D659" s="96" t="s">
        <v>4850</v>
      </c>
      <c r="E659" s="96" t="s">
        <v>29</v>
      </c>
      <c r="F659" s="97" t="s">
        <v>30</v>
      </c>
      <c r="G659" s="97"/>
      <c r="H659" s="96" t="s">
        <v>613</v>
      </c>
      <c r="I659" s="99" t="s">
        <v>4139</v>
      </c>
      <c r="J659" s="95">
        <v>6</v>
      </c>
      <c r="K659" s="95">
        <v>20</v>
      </c>
      <c r="L659" s="100" t="s">
        <v>4851</v>
      </c>
      <c r="M659" s="100" t="s">
        <v>4852</v>
      </c>
      <c r="N659" s="101" t="s">
        <v>4853</v>
      </c>
      <c r="O659" s="82" t="s">
        <v>3534</v>
      </c>
      <c r="P659" s="82">
        <v>19968</v>
      </c>
      <c r="R659" s="82" t="s">
        <v>37</v>
      </c>
      <c r="T659" s="82" t="s">
        <v>435</v>
      </c>
      <c r="U659" s="97">
        <v>2007</v>
      </c>
      <c r="V659" s="97">
        <v>2007</v>
      </c>
      <c r="W659" s="97" t="s">
        <v>593</v>
      </c>
      <c r="X659" s="97"/>
      <c r="Y659" s="102" t="s">
        <v>4854</v>
      </c>
      <c r="Z659" s="102" t="s">
        <v>4855</v>
      </c>
    </row>
    <row r="660" spans="1:26" s="82" customFormat="1" ht="38.25" x14ac:dyDescent="0.25">
      <c r="A660" s="82" t="s">
        <v>4856</v>
      </c>
      <c r="B660" s="82" t="s">
        <v>4857</v>
      </c>
      <c r="C660" s="82" t="str">
        <f t="shared" si="22"/>
        <v>SC-218  - The Delaware Railroad</v>
      </c>
      <c r="D660" s="96" t="s">
        <v>4858</v>
      </c>
      <c r="E660" s="96" t="s">
        <v>3591</v>
      </c>
      <c r="F660" s="97" t="s">
        <v>42</v>
      </c>
      <c r="G660" s="97"/>
      <c r="H660" s="96"/>
      <c r="I660" s="99" t="s">
        <v>4362</v>
      </c>
      <c r="J660" s="95">
        <v>21</v>
      </c>
      <c r="K660" s="95">
        <v>39</v>
      </c>
      <c r="L660" s="112">
        <v>38.639890000000001</v>
      </c>
      <c r="M660" s="112">
        <v>-75.614789999999999</v>
      </c>
      <c r="N660" s="101" t="s">
        <v>4859</v>
      </c>
      <c r="O660" s="101" t="s">
        <v>3407</v>
      </c>
      <c r="P660" s="82">
        <v>19973</v>
      </c>
      <c r="R660" s="82" t="s">
        <v>37</v>
      </c>
      <c r="T660" s="82" t="s">
        <v>435</v>
      </c>
      <c r="U660" s="97">
        <v>2007</v>
      </c>
      <c r="V660" s="97">
        <v>2007</v>
      </c>
      <c r="W660" s="97"/>
      <c r="X660" s="97"/>
      <c r="Y660" s="102"/>
      <c r="Z660" s="102"/>
    </row>
    <row r="661" spans="1:26" s="82" customFormat="1" ht="51" x14ac:dyDescent="0.25">
      <c r="A661" s="82" t="s">
        <v>4860</v>
      </c>
      <c r="B661" s="82" t="s">
        <v>4861</v>
      </c>
      <c r="C661" s="82" t="str">
        <f t="shared" si="22"/>
        <v>SC-219  - David Hall House</v>
      </c>
      <c r="D661" s="96" t="s">
        <v>4862</v>
      </c>
      <c r="E661" s="96" t="s">
        <v>29</v>
      </c>
      <c r="F661" s="97" t="s">
        <v>30</v>
      </c>
      <c r="G661" s="97"/>
      <c r="H661" s="96"/>
      <c r="I661" s="99"/>
      <c r="J661" s="95">
        <v>6</v>
      </c>
      <c r="K661" s="95">
        <v>20</v>
      </c>
      <c r="L661" s="100">
        <v>38.774209999999997</v>
      </c>
      <c r="M661" s="112">
        <v>-75.138859999999994</v>
      </c>
      <c r="N661" s="101" t="s">
        <v>4863</v>
      </c>
      <c r="O661" s="82" t="s">
        <v>3548</v>
      </c>
      <c r="P661" s="82">
        <v>19958</v>
      </c>
      <c r="R661" s="82" t="s">
        <v>37</v>
      </c>
      <c r="T661" s="82" t="s">
        <v>435</v>
      </c>
      <c r="U661" s="97">
        <v>2007</v>
      </c>
      <c r="V661" s="97">
        <v>2007</v>
      </c>
      <c r="W661" s="97" t="s">
        <v>593</v>
      </c>
      <c r="X661" s="97"/>
      <c r="Y661" s="102" t="s">
        <v>4864</v>
      </c>
      <c r="Z661" s="102" t="s">
        <v>4865</v>
      </c>
    </row>
    <row r="662" spans="1:26" s="82" customFormat="1" ht="45" x14ac:dyDescent="0.25">
      <c r="A662" s="82" t="s">
        <v>4866</v>
      </c>
      <c r="B662" s="82" t="s">
        <v>4867</v>
      </c>
      <c r="C662" s="82" t="str">
        <f t="shared" si="22"/>
        <v>SC-220  - Conley’s Chapel</v>
      </c>
      <c r="D662" s="96" t="s">
        <v>4868</v>
      </c>
      <c r="E662" s="96" t="s">
        <v>29</v>
      </c>
      <c r="F662" s="97" t="s">
        <v>30</v>
      </c>
      <c r="G662" s="97"/>
      <c r="H662" s="96"/>
      <c r="I662" s="99" t="s">
        <v>4869</v>
      </c>
      <c r="J662" s="95">
        <v>19</v>
      </c>
      <c r="K662" s="95">
        <v>4</v>
      </c>
      <c r="L662" s="100" t="s">
        <v>4870</v>
      </c>
      <c r="M662" s="100" t="s">
        <v>4871</v>
      </c>
      <c r="N662" s="101" t="s">
        <v>4872</v>
      </c>
      <c r="O662" s="82" t="s">
        <v>3548</v>
      </c>
      <c r="P662" s="82">
        <v>19958</v>
      </c>
      <c r="R662" s="82" t="s">
        <v>37</v>
      </c>
      <c r="T662" s="82" t="s">
        <v>38</v>
      </c>
      <c r="U662" s="97">
        <v>2008</v>
      </c>
      <c r="V662" s="97">
        <v>2008</v>
      </c>
      <c r="W662" s="97" t="s">
        <v>39</v>
      </c>
      <c r="X662" s="97">
        <v>2021</v>
      </c>
      <c r="Y662" s="114" t="s">
        <v>4873</v>
      </c>
      <c r="Z662" s="102" t="s">
        <v>4874</v>
      </c>
    </row>
    <row r="663" spans="1:26" s="82" customFormat="1" ht="51" x14ac:dyDescent="0.25">
      <c r="A663" s="82" t="s">
        <v>4875</v>
      </c>
      <c r="B663" s="82" t="s">
        <v>4876</v>
      </c>
      <c r="C663" s="82" t="str">
        <f t="shared" si="22"/>
        <v>SC-221  - The Blizzard of 1888</v>
      </c>
      <c r="D663" s="96" t="s">
        <v>4862</v>
      </c>
      <c r="E663" s="96" t="s">
        <v>130</v>
      </c>
      <c r="F663" s="97" t="s">
        <v>42</v>
      </c>
      <c r="G663" s="97"/>
      <c r="H663" s="96"/>
      <c r="I663" s="99"/>
      <c r="J663" s="95">
        <v>6</v>
      </c>
      <c r="K663" s="95">
        <v>20</v>
      </c>
      <c r="L663" s="113">
        <v>38.778060000000004</v>
      </c>
      <c r="M663" s="112">
        <v>-75.141450000000006</v>
      </c>
      <c r="N663" s="101" t="s">
        <v>4877</v>
      </c>
      <c r="O663" s="82" t="s">
        <v>3548</v>
      </c>
      <c r="P663" s="82">
        <v>19958</v>
      </c>
      <c r="R663" s="82" t="s">
        <v>37</v>
      </c>
      <c r="T663" s="82" t="s">
        <v>435</v>
      </c>
      <c r="U663" s="97">
        <v>2008</v>
      </c>
      <c r="V663" s="97">
        <v>2008</v>
      </c>
      <c r="W663" s="121" t="s">
        <v>593</v>
      </c>
      <c r="X663" s="97"/>
      <c r="Y663" s="102" t="s">
        <v>4878</v>
      </c>
      <c r="Z663" s="102" t="s">
        <v>4879</v>
      </c>
    </row>
    <row r="664" spans="1:26" s="82" customFormat="1" ht="60" x14ac:dyDescent="0.25">
      <c r="A664" s="82" t="s">
        <v>4880</v>
      </c>
      <c r="B664" s="82" t="s">
        <v>4881</v>
      </c>
      <c r="C664" s="82" t="str">
        <f t="shared" si="22"/>
        <v>SC-222  - Site of Reynold’s Church</v>
      </c>
      <c r="D664" s="96" t="s">
        <v>4882</v>
      </c>
      <c r="E664" s="96" t="s">
        <v>29</v>
      </c>
      <c r="F664" s="97" t="s">
        <v>191</v>
      </c>
      <c r="G664" s="97"/>
      <c r="H664" s="96" t="s">
        <v>1337</v>
      </c>
      <c r="I664" s="99" t="s">
        <v>4139</v>
      </c>
      <c r="J664" s="95">
        <v>6</v>
      </c>
      <c r="K664" s="95">
        <v>36</v>
      </c>
      <c r="L664" s="100" t="s">
        <v>4883</v>
      </c>
      <c r="M664" s="100" t="s">
        <v>4884</v>
      </c>
      <c r="N664" s="101" t="s">
        <v>4885</v>
      </c>
      <c r="O664" s="82" t="s">
        <v>3534</v>
      </c>
      <c r="P664" s="82">
        <v>19968</v>
      </c>
      <c r="Q664" s="82" t="s">
        <v>4886</v>
      </c>
      <c r="R664" s="82" t="s">
        <v>37</v>
      </c>
      <c r="T664" s="82" t="s">
        <v>38</v>
      </c>
      <c r="U664" s="97">
        <v>2008</v>
      </c>
      <c r="V664" s="97">
        <v>2008</v>
      </c>
      <c r="W664" s="121" t="s">
        <v>39</v>
      </c>
      <c r="X664" s="97"/>
      <c r="Y664" s="102" t="s">
        <v>4887</v>
      </c>
      <c r="Z664" s="102" t="s">
        <v>4888</v>
      </c>
    </row>
    <row r="665" spans="1:26" s="82" customFormat="1" ht="25.5" x14ac:dyDescent="0.25">
      <c r="A665" s="101" t="s">
        <v>4889</v>
      </c>
      <c r="B665" s="101" t="s">
        <v>4890</v>
      </c>
      <c r="C665" s="101" t="str">
        <f t="shared" ref="C665:C696" si="23">A665 &amp; " - " &amp; B665</f>
        <v>SC-223  - Hearn's Pond</v>
      </c>
      <c r="D665" s="96" t="s">
        <v>4891</v>
      </c>
      <c r="E665" s="96" t="s">
        <v>29</v>
      </c>
      <c r="F665" s="97" t="s">
        <v>30</v>
      </c>
      <c r="G665" s="97"/>
      <c r="H665" s="96"/>
      <c r="I665" s="99" t="s">
        <v>4362</v>
      </c>
      <c r="J665" s="95">
        <v>21</v>
      </c>
      <c r="K665" s="95">
        <v>39</v>
      </c>
      <c r="L665" s="112">
        <v>38.678890000000003</v>
      </c>
      <c r="M665" s="112">
        <v>-75.593320000000006</v>
      </c>
      <c r="N665" s="101" t="s">
        <v>4892</v>
      </c>
      <c r="O665" s="101" t="s">
        <v>3407</v>
      </c>
      <c r="P665" s="82">
        <v>19973</v>
      </c>
      <c r="R665" s="82" t="s">
        <v>37</v>
      </c>
      <c r="S665" s="101" t="s">
        <v>4893</v>
      </c>
      <c r="T665" s="82" t="s">
        <v>435</v>
      </c>
      <c r="U665" s="97">
        <v>2008</v>
      </c>
      <c r="V665" s="97">
        <v>2008</v>
      </c>
      <c r="W665" s="97" t="s">
        <v>593</v>
      </c>
      <c r="X665" s="97"/>
      <c r="Y665" s="102"/>
      <c r="Z665" s="102"/>
    </row>
    <row r="666" spans="1:26" s="82" customFormat="1" ht="38.25" x14ac:dyDescent="0.25">
      <c r="A666" s="82" t="s">
        <v>4894</v>
      </c>
      <c r="B666" s="82" t="s">
        <v>4895</v>
      </c>
      <c r="C666" s="82" t="str">
        <f t="shared" si="23"/>
        <v>SC-224  - Endeavor Lodge #17 A.F. &amp; A.M.</v>
      </c>
      <c r="D666" s="96" t="s">
        <v>4896</v>
      </c>
      <c r="E666" s="96" t="s">
        <v>29</v>
      </c>
      <c r="F666" s="97" t="s">
        <v>42</v>
      </c>
      <c r="G666" s="97"/>
      <c r="H666" s="96"/>
      <c r="I666" s="99" t="s">
        <v>4139</v>
      </c>
      <c r="J666" s="95">
        <v>6</v>
      </c>
      <c r="K666" s="95">
        <v>20</v>
      </c>
      <c r="L666" s="100" t="s">
        <v>3561</v>
      </c>
      <c r="M666" s="100" t="s">
        <v>4897</v>
      </c>
      <c r="N666" s="101" t="s">
        <v>4898</v>
      </c>
      <c r="O666" s="82" t="s">
        <v>3534</v>
      </c>
      <c r="P666" s="82">
        <v>19968</v>
      </c>
      <c r="R666" s="82" t="s">
        <v>37</v>
      </c>
      <c r="T666" s="82" t="s">
        <v>435</v>
      </c>
      <c r="U666" s="97">
        <v>2008</v>
      </c>
      <c r="V666" s="97">
        <v>2008</v>
      </c>
      <c r="W666" s="97" t="s">
        <v>593</v>
      </c>
      <c r="X666" s="97"/>
      <c r="Y666" s="102"/>
      <c r="Z666" s="102"/>
    </row>
    <row r="667" spans="1:26" s="82" customFormat="1" ht="38.25" x14ac:dyDescent="0.25">
      <c r="A667" s="82" t="s">
        <v>4899</v>
      </c>
      <c r="B667" s="82" t="s">
        <v>4900</v>
      </c>
      <c r="C667" s="82" t="str">
        <f t="shared" si="23"/>
        <v>SC-225  - Sand Hill Church</v>
      </c>
      <c r="D667" s="96" t="s">
        <v>4901</v>
      </c>
      <c r="E667" s="96" t="s">
        <v>29</v>
      </c>
      <c r="F667" s="97" t="s">
        <v>191</v>
      </c>
      <c r="G667" s="97"/>
      <c r="H667" s="96"/>
      <c r="I667" s="99"/>
      <c r="J667" s="95">
        <v>19</v>
      </c>
      <c r="K667" s="95">
        <v>20</v>
      </c>
      <c r="L667" s="112">
        <v>38.731839999999998</v>
      </c>
      <c r="M667" s="112">
        <v>-75.36009</v>
      </c>
      <c r="N667" s="101" t="s">
        <v>4902</v>
      </c>
      <c r="O667" s="101" t="s">
        <v>3471</v>
      </c>
      <c r="P667" s="82">
        <v>19947</v>
      </c>
      <c r="R667" s="82" t="s">
        <v>37</v>
      </c>
      <c r="S667" s="82" t="s">
        <v>4903</v>
      </c>
      <c r="T667" s="82" t="s">
        <v>38</v>
      </c>
      <c r="U667" s="97">
        <v>2008</v>
      </c>
      <c r="V667" s="97">
        <v>2008</v>
      </c>
      <c r="W667" s="121" t="s">
        <v>39</v>
      </c>
      <c r="X667" s="97">
        <v>2019</v>
      </c>
      <c r="Y667" s="102"/>
      <c r="Z667" s="102"/>
    </row>
    <row r="668" spans="1:26" s="82" customFormat="1" ht="45" x14ac:dyDescent="0.25">
      <c r="A668" s="82" t="s">
        <v>4904</v>
      </c>
      <c r="B668" s="82" t="s">
        <v>4905</v>
      </c>
      <c r="C668" s="82" t="str">
        <f t="shared" si="23"/>
        <v>SC-226  - Rosedale Beach Hotel and Resort</v>
      </c>
      <c r="D668" s="96" t="s">
        <v>4524</v>
      </c>
      <c r="E668" s="96" t="s">
        <v>29</v>
      </c>
      <c r="F668" s="97" t="s">
        <v>30</v>
      </c>
      <c r="G668" s="97" t="s">
        <v>293</v>
      </c>
      <c r="H668" s="96"/>
      <c r="I668" s="99" t="s">
        <v>4797</v>
      </c>
      <c r="J668" s="95">
        <v>20</v>
      </c>
      <c r="K668" s="95">
        <v>4</v>
      </c>
      <c r="L668" s="100" t="s">
        <v>4906</v>
      </c>
      <c r="M668" s="100" t="s">
        <v>4907</v>
      </c>
      <c r="N668" s="101" t="s">
        <v>4908</v>
      </c>
      <c r="O668" s="82" t="s">
        <v>3671</v>
      </c>
      <c r="P668" s="82">
        <v>19966</v>
      </c>
      <c r="R668" s="82" t="s">
        <v>37</v>
      </c>
      <c r="S668" s="82" t="s">
        <v>4909</v>
      </c>
      <c r="T668" s="82" t="s">
        <v>38</v>
      </c>
      <c r="U668" s="97">
        <v>2011</v>
      </c>
      <c r="V668" s="98">
        <v>40862</v>
      </c>
      <c r="W668" s="97" t="s">
        <v>39</v>
      </c>
      <c r="X668" s="97">
        <v>2022</v>
      </c>
      <c r="Y668" s="102" t="s">
        <v>4910</v>
      </c>
      <c r="Z668" s="102" t="s">
        <v>4911</v>
      </c>
    </row>
    <row r="669" spans="1:26" s="82" customFormat="1" ht="45" x14ac:dyDescent="0.25">
      <c r="A669" s="82" t="s">
        <v>4912</v>
      </c>
      <c r="B669" s="82" t="s">
        <v>4913</v>
      </c>
      <c r="C669" s="82" t="str">
        <f t="shared" si="23"/>
        <v>SC-227  - The Tina Fallon</v>
      </c>
      <c r="D669" s="96" t="s">
        <v>4489</v>
      </c>
      <c r="E669" s="96" t="s">
        <v>130</v>
      </c>
      <c r="F669" s="97" t="s">
        <v>30</v>
      </c>
      <c r="G669" s="97"/>
      <c r="H669" s="96"/>
      <c r="I669" s="99"/>
      <c r="J669" s="95">
        <v>21</v>
      </c>
      <c r="K669" s="95">
        <v>39</v>
      </c>
      <c r="L669" s="100" t="s">
        <v>4914</v>
      </c>
      <c r="M669" s="112">
        <v>-75.657669999999996</v>
      </c>
      <c r="N669" s="101" t="s">
        <v>4915</v>
      </c>
      <c r="O669" s="101" t="s">
        <v>4916</v>
      </c>
      <c r="P669" s="82">
        <v>19973</v>
      </c>
      <c r="Q669" s="82" t="s">
        <v>4917</v>
      </c>
      <c r="R669" s="82" t="s">
        <v>4918</v>
      </c>
      <c r="S669" s="101" t="s">
        <v>4919</v>
      </c>
      <c r="T669" s="82" t="s">
        <v>38</v>
      </c>
      <c r="U669" s="121" t="s">
        <v>4920</v>
      </c>
      <c r="V669" s="98">
        <v>40939</v>
      </c>
      <c r="W669" s="97" t="s">
        <v>39</v>
      </c>
      <c r="X669" s="97"/>
      <c r="Y669" s="114" t="s">
        <v>4921</v>
      </c>
      <c r="Z669" s="102" t="s">
        <v>4922</v>
      </c>
    </row>
    <row r="670" spans="1:26" s="82" customFormat="1" ht="45" x14ac:dyDescent="0.25">
      <c r="A670" s="82" t="s">
        <v>4923</v>
      </c>
      <c r="B670" s="82" t="s">
        <v>4924</v>
      </c>
      <c r="C670" s="82" t="str">
        <f t="shared" si="23"/>
        <v>SC-228  - The Cannon / Johnson Kidnapping Gang</v>
      </c>
      <c r="D670" s="96" t="s">
        <v>4925</v>
      </c>
      <c r="E670" s="96" t="s">
        <v>29</v>
      </c>
      <c r="F670" s="97" t="s">
        <v>42</v>
      </c>
      <c r="G670" s="97" t="s">
        <v>293</v>
      </c>
      <c r="H670" s="96"/>
      <c r="I670" s="99"/>
      <c r="J670" s="95">
        <v>21</v>
      </c>
      <c r="K670" s="95">
        <v>39</v>
      </c>
      <c r="L670" s="112">
        <v>38.63552</v>
      </c>
      <c r="M670" s="112">
        <v>-75.707599999999999</v>
      </c>
      <c r="N670" s="101" t="s">
        <v>4926</v>
      </c>
      <c r="O670" s="82" t="s">
        <v>3407</v>
      </c>
      <c r="P670" s="82">
        <v>19973</v>
      </c>
      <c r="R670" s="82" t="s">
        <v>37</v>
      </c>
      <c r="T670" s="82" t="s">
        <v>38</v>
      </c>
      <c r="U670" s="121" t="s">
        <v>4920</v>
      </c>
      <c r="V670" s="98">
        <v>41046</v>
      </c>
      <c r="W670" s="97" t="s">
        <v>39</v>
      </c>
      <c r="X670" s="97"/>
      <c r="Y670" s="102"/>
      <c r="Z670" s="102"/>
    </row>
    <row r="671" spans="1:26" s="82" customFormat="1" ht="30" x14ac:dyDescent="0.25">
      <c r="A671" s="82" t="s">
        <v>4927</v>
      </c>
      <c r="B671" s="82" t="s">
        <v>4928</v>
      </c>
      <c r="C671" s="82" t="str">
        <f t="shared" si="23"/>
        <v>SC-229  - The Studley House</v>
      </c>
      <c r="D671" s="96" t="s">
        <v>4385</v>
      </c>
      <c r="E671" s="96" t="s">
        <v>29</v>
      </c>
      <c r="F671" s="97" t="s">
        <v>30</v>
      </c>
      <c r="G671" s="97"/>
      <c r="H671" s="96"/>
      <c r="I671" s="99" t="s">
        <v>4176</v>
      </c>
      <c r="J671" s="95">
        <v>6</v>
      </c>
      <c r="K671" s="95">
        <v>20</v>
      </c>
      <c r="L671" s="100" t="s">
        <v>4929</v>
      </c>
      <c r="M671" s="100" t="s">
        <v>4930</v>
      </c>
      <c r="N671" s="101" t="s">
        <v>4931</v>
      </c>
      <c r="O671" s="82" t="s">
        <v>3428</v>
      </c>
      <c r="P671" s="82">
        <v>19956</v>
      </c>
      <c r="R671" s="82" t="s">
        <v>37</v>
      </c>
      <c r="T671" s="82" t="s">
        <v>38</v>
      </c>
      <c r="U671" s="121">
        <v>2012</v>
      </c>
      <c r="V671" s="98">
        <v>41206</v>
      </c>
      <c r="W671" s="97" t="s">
        <v>39</v>
      </c>
      <c r="X671" s="97"/>
      <c r="Y671" s="102"/>
      <c r="Z671" s="102"/>
    </row>
    <row r="672" spans="1:26" s="82" customFormat="1" ht="45" x14ac:dyDescent="0.25">
      <c r="A672" s="82" t="s">
        <v>4932</v>
      </c>
      <c r="B672" s="82" t="s">
        <v>4933</v>
      </c>
      <c r="C672" s="82" t="str">
        <f t="shared" si="23"/>
        <v>SC-230  - The Coursey-Daisey Burial Ground</v>
      </c>
      <c r="D672" s="96" t="s">
        <v>4934</v>
      </c>
      <c r="E672" s="96" t="s">
        <v>130</v>
      </c>
      <c r="F672" s="97" t="s">
        <v>30</v>
      </c>
      <c r="G672" s="97"/>
      <c r="H672" s="96"/>
      <c r="I672" s="99"/>
      <c r="J672" s="95">
        <v>6</v>
      </c>
      <c r="K672" s="95">
        <v>14</v>
      </c>
      <c r="L672" s="100" t="s">
        <v>4935</v>
      </c>
      <c r="M672" s="100" t="s">
        <v>4936</v>
      </c>
      <c r="N672" s="101" t="s">
        <v>4937</v>
      </c>
      <c r="O672" s="82" t="s">
        <v>3548</v>
      </c>
      <c r="P672" s="82">
        <v>19958</v>
      </c>
      <c r="R672" s="82" t="s">
        <v>37</v>
      </c>
      <c r="T672" s="82" t="s">
        <v>38</v>
      </c>
      <c r="U672" s="97">
        <v>2012</v>
      </c>
      <c r="V672" s="98">
        <v>41200</v>
      </c>
      <c r="W672" s="97" t="s">
        <v>39</v>
      </c>
      <c r="X672" s="97"/>
      <c r="Y672" s="102" t="s">
        <v>4938</v>
      </c>
      <c r="Z672" s="102" t="s">
        <v>4939</v>
      </c>
    </row>
    <row r="673" spans="1:26" s="82" customFormat="1" ht="45" x14ac:dyDescent="0.25">
      <c r="A673" s="82" t="s">
        <v>4940</v>
      </c>
      <c r="B673" s="82" t="s">
        <v>4941</v>
      </c>
      <c r="C673" s="82" t="str">
        <f t="shared" si="23"/>
        <v>SC-231  - McColley's Chapel</v>
      </c>
      <c r="D673" s="96" t="s">
        <v>4942</v>
      </c>
      <c r="E673" s="96" t="s">
        <v>29</v>
      </c>
      <c r="F673" s="97" t="s">
        <v>191</v>
      </c>
      <c r="G673" s="97"/>
      <c r="H673" s="96" t="s">
        <v>165</v>
      </c>
      <c r="I673" s="99" t="s">
        <v>4943</v>
      </c>
      <c r="J673" s="95">
        <v>18</v>
      </c>
      <c r="K673" s="95">
        <v>35</v>
      </c>
      <c r="L673" s="100" t="s">
        <v>4944</v>
      </c>
      <c r="M673" s="100" t="s">
        <v>4945</v>
      </c>
      <c r="N673" s="101" t="s">
        <v>4946</v>
      </c>
      <c r="O673" s="82" t="s">
        <v>3471</v>
      </c>
      <c r="P673" s="82">
        <v>19947</v>
      </c>
      <c r="R673" s="82" t="s">
        <v>37</v>
      </c>
      <c r="T673" s="82" t="s">
        <v>38</v>
      </c>
      <c r="U673" s="97">
        <v>2013</v>
      </c>
      <c r="V673" s="98">
        <v>41374</v>
      </c>
      <c r="W673" s="97" t="s">
        <v>39</v>
      </c>
      <c r="X673" s="97"/>
      <c r="Y673" s="103" t="s">
        <v>4947</v>
      </c>
      <c r="Z673" s="102" t="s">
        <v>4948</v>
      </c>
    </row>
    <row r="674" spans="1:26" s="82" customFormat="1" ht="45" x14ac:dyDescent="0.25">
      <c r="A674" s="82" t="s">
        <v>4949</v>
      </c>
      <c r="B674" s="82" t="s">
        <v>4950</v>
      </c>
      <c r="C674" s="82" t="str">
        <f t="shared" si="23"/>
        <v>SC-232  - Wesley United Methodist Church (Seaford)</v>
      </c>
      <c r="D674" s="96" t="s">
        <v>3781</v>
      </c>
      <c r="E674" s="96" t="s">
        <v>29</v>
      </c>
      <c r="F674" s="97" t="s">
        <v>191</v>
      </c>
      <c r="G674" s="97"/>
      <c r="H674" s="96"/>
      <c r="I674" s="99" t="s">
        <v>4951</v>
      </c>
      <c r="J674" s="95">
        <v>21</v>
      </c>
      <c r="K674" s="95">
        <v>39</v>
      </c>
      <c r="L674" s="112">
        <v>38.686039999999998</v>
      </c>
      <c r="M674" s="112">
        <v>-75.641589999999994</v>
      </c>
      <c r="N674" s="101" t="s">
        <v>4952</v>
      </c>
      <c r="O674" s="101" t="s">
        <v>3407</v>
      </c>
      <c r="P674" s="82">
        <v>19973</v>
      </c>
      <c r="R674" s="82" t="s">
        <v>37</v>
      </c>
      <c r="T674" s="82" t="s">
        <v>38</v>
      </c>
      <c r="U674" s="97">
        <v>2014</v>
      </c>
      <c r="V674" s="98">
        <v>41768</v>
      </c>
      <c r="W674" s="97" t="s">
        <v>39</v>
      </c>
      <c r="X674" s="97"/>
      <c r="Y674" s="102"/>
      <c r="Z674" s="102"/>
    </row>
    <row r="675" spans="1:26" s="82" customFormat="1" ht="45" x14ac:dyDescent="0.25">
      <c r="A675" s="82" t="s">
        <v>4953</v>
      </c>
      <c r="B675" s="82" t="s">
        <v>4954</v>
      </c>
      <c r="C675" s="82" t="str">
        <f t="shared" si="23"/>
        <v>SC-233  - Gateway to Freedom: The Tilly Escape</v>
      </c>
      <c r="D675" s="115" t="s">
        <v>4955</v>
      </c>
      <c r="E675" s="96" t="s">
        <v>29</v>
      </c>
      <c r="F675" s="97" t="s">
        <v>42</v>
      </c>
      <c r="G675" s="97" t="s">
        <v>293</v>
      </c>
      <c r="H675" s="96" t="s">
        <v>4956</v>
      </c>
      <c r="I675" s="99" t="s">
        <v>4951</v>
      </c>
      <c r="J675" s="95">
        <v>21</v>
      </c>
      <c r="K675" s="95">
        <v>39</v>
      </c>
      <c r="L675" s="112">
        <v>38.641750000000002</v>
      </c>
      <c r="M675" s="112">
        <v>-75.609369999999998</v>
      </c>
      <c r="N675" s="101" t="s">
        <v>4957</v>
      </c>
      <c r="O675" s="101" t="s">
        <v>3407</v>
      </c>
      <c r="P675" s="82">
        <v>19973</v>
      </c>
      <c r="R675" s="82" t="s">
        <v>37</v>
      </c>
      <c r="T675" s="82" t="s">
        <v>38</v>
      </c>
      <c r="U675" s="97">
        <v>2014</v>
      </c>
      <c r="V675" s="98">
        <v>41684</v>
      </c>
      <c r="W675" s="97" t="s">
        <v>39</v>
      </c>
      <c r="X675" s="97"/>
      <c r="Y675" s="102" t="s">
        <v>4958</v>
      </c>
      <c r="Z675" s="102" t="s">
        <v>4959</v>
      </c>
    </row>
    <row r="676" spans="1:26" s="82" customFormat="1" ht="45" x14ac:dyDescent="0.25">
      <c r="A676" s="82" t="s">
        <v>4960</v>
      </c>
      <c r="B676" s="82" t="s">
        <v>4961</v>
      </c>
      <c r="C676" s="82" t="str">
        <f t="shared" si="23"/>
        <v>SC-234  - The Clayton Theatre</v>
      </c>
      <c r="D676" s="96" t="s">
        <v>3955</v>
      </c>
      <c r="E676" s="96" t="s">
        <v>29</v>
      </c>
      <c r="F676" s="97" t="s">
        <v>30</v>
      </c>
      <c r="G676" s="97"/>
      <c r="H676" s="96" t="s">
        <v>897</v>
      </c>
      <c r="I676" s="99" t="s">
        <v>4962</v>
      </c>
      <c r="J676" s="95">
        <v>20</v>
      </c>
      <c r="K676" s="95">
        <v>41</v>
      </c>
      <c r="L676" s="100" t="s">
        <v>4963</v>
      </c>
      <c r="M676" s="100" t="s">
        <v>4964</v>
      </c>
      <c r="N676" s="101" t="s">
        <v>4965</v>
      </c>
      <c r="O676" s="82" t="s">
        <v>3492</v>
      </c>
      <c r="P676" s="82">
        <v>19939</v>
      </c>
      <c r="R676" s="82" t="s">
        <v>37</v>
      </c>
      <c r="T676" s="82" t="s">
        <v>38</v>
      </c>
      <c r="U676" s="97">
        <v>2014</v>
      </c>
      <c r="V676" s="98">
        <v>41831</v>
      </c>
      <c r="W676" s="97" t="s">
        <v>39</v>
      </c>
      <c r="X676" s="97"/>
      <c r="Y676" s="102" t="s">
        <v>4966</v>
      </c>
      <c r="Z676" s="102" t="s">
        <v>4967</v>
      </c>
    </row>
    <row r="677" spans="1:26" s="82" customFormat="1" ht="30" x14ac:dyDescent="0.25">
      <c r="A677" s="82" t="s">
        <v>4968</v>
      </c>
      <c r="B677" s="82" t="s">
        <v>4969</v>
      </c>
      <c r="C677" s="82" t="str">
        <f t="shared" si="23"/>
        <v>SC-235  - White's Chapel United Methodist Church</v>
      </c>
      <c r="D677" s="96" t="s">
        <v>204</v>
      </c>
      <c r="E677" s="96" t="s">
        <v>346</v>
      </c>
      <c r="F677" s="97" t="s">
        <v>191</v>
      </c>
      <c r="G677" s="97"/>
      <c r="H677" s="96" t="s">
        <v>4956</v>
      </c>
      <c r="I677" s="99" t="s">
        <v>4970</v>
      </c>
      <c r="J677" s="95">
        <v>6</v>
      </c>
      <c r="K677" s="95">
        <v>20</v>
      </c>
      <c r="L677" s="112">
        <v>38.773519999999998</v>
      </c>
      <c r="M677" s="112">
        <v>-75.223089999999999</v>
      </c>
      <c r="N677" s="101" t="s">
        <v>4971</v>
      </c>
      <c r="O677" s="82" t="s">
        <v>3534</v>
      </c>
      <c r="P677" s="82">
        <v>19968</v>
      </c>
      <c r="R677" s="82" t="s">
        <v>37</v>
      </c>
      <c r="T677" s="82" t="s">
        <v>38</v>
      </c>
      <c r="U677" s="97">
        <v>2014</v>
      </c>
      <c r="V677" s="98">
        <v>41817</v>
      </c>
      <c r="W677" s="97" t="s">
        <v>39</v>
      </c>
      <c r="X677" s="97"/>
      <c r="Y677" s="102"/>
      <c r="Z677" s="102"/>
    </row>
    <row r="678" spans="1:26" s="82" customFormat="1" ht="45" x14ac:dyDescent="0.25">
      <c r="A678" s="82" t="s">
        <v>4972</v>
      </c>
      <c r="B678" s="82" t="s">
        <v>4973</v>
      </c>
      <c r="C678" s="82" t="str">
        <f t="shared" si="23"/>
        <v>SC-236  - Woodland United Methodist Church</v>
      </c>
      <c r="D678" s="96" t="s">
        <v>4974</v>
      </c>
      <c r="E678" s="96" t="s">
        <v>130</v>
      </c>
      <c r="F678" s="97" t="s">
        <v>191</v>
      </c>
      <c r="G678" s="97"/>
      <c r="H678" s="96" t="s">
        <v>400</v>
      </c>
      <c r="I678" s="99" t="s">
        <v>4024</v>
      </c>
      <c r="J678" s="95">
        <v>21</v>
      </c>
      <c r="K678" s="95">
        <v>39</v>
      </c>
      <c r="L678" s="112">
        <v>38.600160000000002</v>
      </c>
      <c r="M678" s="112">
        <v>-75.657920000000004</v>
      </c>
      <c r="N678" s="101" t="s">
        <v>4975</v>
      </c>
      <c r="O678" s="101" t="s">
        <v>3407</v>
      </c>
      <c r="P678" s="82">
        <v>19973</v>
      </c>
      <c r="R678" s="82" t="s">
        <v>37</v>
      </c>
      <c r="T678" s="82" t="s">
        <v>38</v>
      </c>
      <c r="U678" s="97">
        <v>2014</v>
      </c>
      <c r="V678" s="98">
        <v>41871</v>
      </c>
      <c r="W678" s="97" t="s">
        <v>39</v>
      </c>
      <c r="X678" s="97"/>
      <c r="Y678" s="102" t="s">
        <v>4976</v>
      </c>
      <c r="Z678" s="102" t="s">
        <v>4977</v>
      </c>
    </row>
    <row r="679" spans="1:26" s="82" customFormat="1" ht="30" x14ac:dyDescent="0.25">
      <c r="A679" s="82" t="s">
        <v>4978</v>
      </c>
      <c r="B679" s="82" t="s">
        <v>4979</v>
      </c>
      <c r="C679" s="82" t="str">
        <f t="shared" si="23"/>
        <v>SC-237  - Captain Ebe Chandler House</v>
      </c>
      <c r="D679" s="96" t="s">
        <v>3955</v>
      </c>
      <c r="E679" s="96" t="s">
        <v>29</v>
      </c>
      <c r="F679" s="97" t="s">
        <v>30</v>
      </c>
      <c r="G679" s="97"/>
      <c r="H679" s="96" t="s">
        <v>4956</v>
      </c>
      <c r="I679" s="99" t="s">
        <v>4962</v>
      </c>
      <c r="J679" s="95">
        <v>20</v>
      </c>
      <c r="K679" s="95">
        <v>41</v>
      </c>
      <c r="L679" s="100" t="s">
        <v>4980</v>
      </c>
      <c r="M679" s="100" t="s">
        <v>4981</v>
      </c>
      <c r="N679" s="101" t="s">
        <v>4982</v>
      </c>
      <c r="O679" s="82" t="s">
        <v>3500</v>
      </c>
      <c r="P679" s="82">
        <v>19945</v>
      </c>
      <c r="R679" s="82" t="s">
        <v>37</v>
      </c>
      <c r="T679" s="82" t="s">
        <v>38</v>
      </c>
      <c r="U679" s="97">
        <v>2014</v>
      </c>
      <c r="V679" s="98">
        <v>41920</v>
      </c>
      <c r="W679" s="97" t="s">
        <v>39</v>
      </c>
      <c r="X679" s="97"/>
      <c r="Y679" s="102"/>
      <c r="Z679" s="102"/>
    </row>
    <row r="680" spans="1:26" s="82" customFormat="1" ht="51" x14ac:dyDescent="0.25">
      <c r="A680" s="82" t="s">
        <v>4983</v>
      </c>
      <c r="B680" s="82" t="s">
        <v>4984</v>
      </c>
      <c r="C680" s="82" t="str">
        <f t="shared" si="23"/>
        <v>SC-238  - History of Lake Comegys and Silver Lake</v>
      </c>
      <c r="D680" s="96" t="s">
        <v>4985</v>
      </c>
      <c r="E680" s="119" t="s">
        <v>29</v>
      </c>
      <c r="F680" s="97" t="s">
        <v>30</v>
      </c>
      <c r="G680" s="97"/>
      <c r="H680" s="96" t="s">
        <v>502</v>
      </c>
      <c r="I680" s="99" t="s">
        <v>4986</v>
      </c>
      <c r="J680" s="95">
        <v>6</v>
      </c>
      <c r="K680" s="95">
        <v>14</v>
      </c>
      <c r="L680" s="100" t="s">
        <v>4987</v>
      </c>
      <c r="M680" s="100" t="s">
        <v>4988</v>
      </c>
      <c r="N680" s="101" t="s">
        <v>4989</v>
      </c>
      <c r="O680" s="82" t="s">
        <v>3810</v>
      </c>
      <c r="P680" s="82">
        <v>19971</v>
      </c>
      <c r="R680" s="82" t="s">
        <v>37</v>
      </c>
      <c r="S680" s="82" t="s">
        <v>4990</v>
      </c>
      <c r="T680" s="82" t="s">
        <v>38</v>
      </c>
      <c r="U680" s="97">
        <v>2014</v>
      </c>
      <c r="V680" s="98">
        <v>41871</v>
      </c>
      <c r="W680" s="97" t="s">
        <v>39</v>
      </c>
      <c r="X680" s="97">
        <v>2022</v>
      </c>
      <c r="Y680" s="102" t="s">
        <v>4991</v>
      </c>
      <c r="Z680" s="102" t="s">
        <v>4992</v>
      </c>
    </row>
    <row r="681" spans="1:26" s="82" customFormat="1" ht="30" x14ac:dyDescent="0.25">
      <c r="A681" s="82" t="s">
        <v>4993</v>
      </c>
      <c r="B681" s="82" t="s">
        <v>4994</v>
      </c>
      <c r="C681" s="82" t="str">
        <f t="shared" si="23"/>
        <v>SC-239  - World's First Nylon Plant</v>
      </c>
      <c r="D681" s="96" t="s">
        <v>4995</v>
      </c>
      <c r="E681" s="96" t="s">
        <v>29</v>
      </c>
      <c r="F681" s="97" t="s">
        <v>30</v>
      </c>
      <c r="G681" s="97"/>
      <c r="H681" s="96"/>
      <c r="I681" s="99" t="s">
        <v>4951</v>
      </c>
      <c r="J681" s="95">
        <v>21</v>
      </c>
      <c r="K681" s="95">
        <v>39</v>
      </c>
      <c r="L681" s="100" t="s">
        <v>4996</v>
      </c>
      <c r="M681" s="100" t="s">
        <v>4997</v>
      </c>
      <c r="N681" s="101" t="s">
        <v>4998</v>
      </c>
      <c r="O681" s="82" t="s">
        <v>3407</v>
      </c>
      <c r="P681" s="82">
        <v>19973</v>
      </c>
      <c r="R681" s="82" t="s">
        <v>37</v>
      </c>
      <c r="S681" s="82" t="s">
        <v>4999</v>
      </c>
      <c r="T681" s="82" t="s">
        <v>38</v>
      </c>
      <c r="U681" s="97">
        <v>2014</v>
      </c>
      <c r="V681" s="98">
        <v>41892</v>
      </c>
      <c r="W681" s="97" t="s">
        <v>39</v>
      </c>
      <c r="X681" s="97">
        <v>2016</v>
      </c>
      <c r="Y681" s="102"/>
      <c r="Z681" s="102"/>
    </row>
    <row r="682" spans="1:26" s="82" customFormat="1" ht="51" x14ac:dyDescent="0.25">
      <c r="A682" s="82" t="s">
        <v>5000</v>
      </c>
      <c r="B682" s="82" t="s">
        <v>5001</v>
      </c>
      <c r="C682" s="82" t="str">
        <f t="shared" si="23"/>
        <v>SC-240  - Cool Spring Presbyterian Church</v>
      </c>
      <c r="D682" s="96" t="s">
        <v>5002</v>
      </c>
      <c r="E682" s="96" t="s">
        <v>29</v>
      </c>
      <c r="F682" s="97" t="s">
        <v>191</v>
      </c>
      <c r="G682" s="97"/>
      <c r="H682" s="96" t="s">
        <v>3842</v>
      </c>
      <c r="I682" s="99" t="s">
        <v>5003</v>
      </c>
      <c r="J682" s="95">
        <v>6</v>
      </c>
      <c r="K682" s="95">
        <v>20</v>
      </c>
      <c r="L682" s="100" t="s">
        <v>5004</v>
      </c>
      <c r="M682" s="100" t="s">
        <v>5005</v>
      </c>
      <c r="N682" s="101" t="s">
        <v>5006</v>
      </c>
      <c r="O682" s="82" t="s">
        <v>3548</v>
      </c>
      <c r="P682" s="82">
        <v>19958</v>
      </c>
      <c r="R682" s="82" t="s">
        <v>37</v>
      </c>
      <c r="T682" s="82" t="s">
        <v>38</v>
      </c>
      <c r="U682" s="97">
        <v>2014</v>
      </c>
      <c r="V682" s="98">
        <v>41935</v>
      </c>
      <c r="W682" s="97" t="s">
        <v>39</v>
      </c>
      <c r="X682" s="97"/>
      <c r="Y682" s="102" t="s">
        <v>5007</v>
      </c>
      <c r="Z682" s="102" t="s">
        <v>5008</v>
      </c>
    </row>
    <row r="683" spans="1:26" s="82" customFormat="1" ht="45" x14ac:dyDescent="0.25">
      <c r="A683" s="82" t="s">
        <v>5009</v>
      </c>
      <c r="B683" s="82" t="s">
        <v>5010</v>
      </c>
      <c r="C683" s="82" t="str">
        <f t="shared" si="23"/>
        <v>SC-241  - Milton Public School #196-C</v>
      </c>
      <c r="D683" s="96" t="s">
        <v>5011</v>
      </c>
      <c r="E683" s="96" t="s">
        <v>346</v>
      </c>
      <c r="F683" s="97" t="s">
        <v>276</v>
      </c>
      <c r="G683" s="97" t="s">
        <v>293</v>
      </c>
      <c r="H683" s="96"/>
      <c r="I683" s="99" t="s">
        <v>5012</v>
      </c>
      <c r="J683" s="95">
        <v>6</v>
      </c>
      <c r="K683" s="95">
        <v>20</v>
      </c>
      <c r="L683" s="100" t="s">
        <v>5013</v>
      </c>
      <c r="M683" s="100" t="s">
        <v>5014</v>
      </c>
      <c r="N683" s="101" t="s">
        <v>5015</v>
      </c>
      <c r="O683" s="82" t="s">
        <v>3534</v>
      </c>
      <c r="P683" s="82">
        <v>19968</v>
      </c>
      <c r="R683" s="82" t="s">
        <v>4668</v>
      </c>
      <c r="S683" s="82" t="s">
        <v>5016</v>
      </c>
      <c r="T683" s="82" t="s">
        <v>38</v>
      </c>
      <c r="U683" s="97">
        <v>2014</v>
      </c>
      <c r="V683" s="98">
        <v>42135</v>
      </c>
      <c r="W683" s="97" t="s">
        <v>39</v>
      </c>
      <c r="X683" s="97"/>
      <c r="Y683" s="102"/>
      <c r="Z683" s="102"/>
    </row>
    <row r="684" spans="1:26" s="82" customFormat="1" x14ac:dyDescent="0.25">
      <c r="A684" s="7" t="s">
        <v>5017</v>
      </c>
      <c r="B684" s="7" t="s">
        <v>5018</v>
      </c>
      <c r="C684" s="7" t="str">
        <f t="shared" si="23"/>
        <v>SC-242  - Belltown</v>
      </c>
      <c r="D684" s="24"/>
      <c r="E684" s="24" t="s">
        <v>1070</v>
      </c>
      <c r="F684" s="54"/>
      <c r="G684" s="54"/>
      <c r="H684" s="24"/>
      <c r="I684" s="55"/>
      <c r="J684" s="53"/>
      <c r="K684" s="53"/>
      <c r="L684" s="56"/>
      <c r="M684" s="56"/>
      <c r="N684" s="57"/>
      <c r="O684" s="7"/>
      <c r="P684" s="7"/>
      <c r="Q684" s="7"/>
      <c r="R684" s="7" t="s">
        <v>37</v>
      </c>
      <c r="S684" s="7"/>
      <c r="T684" s="7"/>
      <c r="U684" s="54"/>
      <c r="V684" s="54"/>
      <c r="W684" s="54" t="s">
        <v>37</v>
      </c>
      <c r="X684" s="54"/>
      <c r="Y684" s="58"/>
      <c r="Z684" s="58"/>
    </row>
    <row r="685" spans="1:26" s="82" customFormat="1" ht="45" x14ac:dyDescent="0.25">
      <c r="A685" s="82" t="s">
        <v>5019</v>
      </c>
      <c r="B685" s="82" t="s">
        <v>5020</v>
      </c>
      <c r="C685" s="82" t="str">
        <f t="shared" si="23"/>
        <v>SC-243  - Beebe Medical Foundation</v>
      </c>
      <c r="D685" s="96" t="s">
        <v>5021</v>
      </c>
      <c r="E685" s="96" t="s">
        <v>29</v>
      </c>
      <c r="F685" s="97" t="s">
        <v>30</v>
      </c>
      <c r="G685" s="97"/>
      <c r="H685" s="96"/>
      <c r="I685" s="99" t="s">
        <v>5022</v>
      </c>
      <c r="J685" s="95">
        <v>6</v>
      </c>
      <c r="K685" s="95">
        <v>20</v>
      </c>
      <c r="L685" s="113">
        <v>38.767589999999998</v>
      </c>
      <c r="M685" s="112">
        <v>-75.146460000000005</v>
      </c>
      <c r="N685" s="101" t="s">
        <v>5023</v>
      </c>
      <c r="O685" s="82" t="s">
        <v>3548</v>
      </c>
      <c r="P685" s="82">
        <v>19958</v>
      </c>
      <c r="R685" s="82" t="s">
        <v>37</v>
      </c>
      <c r="T685" s="82" t="s">
        <v>38</v>
      </c>
      <c r="U685" s="97">
        <v>2014</v>
      </c>
      <c r="V685" s="98">
        <v>41960</v>
      </c>
      <c r="W685" s="97" t="s">
        <v>39</v>
      </c>
      <c r="X685" s="97"/>
      <c r="Y685" s="102" t="s">
        <v>5024</v>
      </c>
      <c r="Z685" s="102" t="s">
        <v>5025</v>
      </c>
    </row>
    <row r="686" spans="1:26" s="82" customFormat="1" ht="45" x14ac:dyDescent="0.25">
      <c r="A686" s="82" t="s">
        <v>5026</v>
      </c>
      <c r="B686" s="82" t="s">
        <v>5027</v>
      </c>
      <c r="C686" s="82" t="str">
        <f t="shared" si="23"/>
        <v>SC-244  - Mansion Farm: the David Robbins Homestead</v>
      </c>
      <c r="D686" s="96" t="s">
        <v>4782</v>
      </c>
      <c r="E686" s="96" t="s">
        <v>29</v>
      </c>
      <c r="F686" s="97" t="s">
        <v>30</v>
      </c>
      <c r="G686" s="97"/>
      <c r="H686" s="96"/>
      <c r="I686" s="99" t="s">
        <v>5028</v>
      </c>
      <c r="J686" s="95">
        <v>6</v>
      </c>
      <c r="K686" s="95">
        <v>20</v>
      </c>
      <c r="L686" s="100">
        <v>38.793729999999996</v>
      </c>
      <c r="M686" s="100" t="s">
        <v>5029</v>
      </c>
      <c r="N686" s="101" t="s">
        <v>5030</v>
      </c>
      <c r="O686" s="82" t="s">
        <v>3534</v>
      </c>
      <c r="P686" s="82">
        <v>19968</v>
      </c>
      <c r="R686" s="82" t="s">
        <v>37</v>
      </c>
      <c r="T686" s="82" t="s">
        <v>38</v>
      </c>
      <c r="U686" s="97">
        <v>2015</v>
      </c>
      <c r="V686" s="98">
        <v>42166</v>
      </c>
      <c r="W686" s="97" t="s">
        <v>39</v>
      </c>
      <c r="X686" s="97"/>
      <c r="Y686" s="102" t="s">
        <v>5031</v>
      </c>
      <c r="Z686" s="102" t="s">
        <v>5032</v>
      </c>
    </row>
    <row r="687" spans="1:26" s="82" customFormat="1" ht="30" x14ac:dyDescent="0.25">
      <c r="A687" s="82" t="s">
        <v>5033</v>
      </c>
      <c r="B687" s="82" t="s">
        <v>5034</v>
      </c>
      <c r="C687" s="82" t="str">
        <f t="shared" si="23"/>
        <v>SC-245  - Temple Lodge No. 9 A.F. &amp; A.M.</v>
      </c>
      <c r="D687" s="96" t="s">
        <v>5035</v>
      </c>
      <c r="E687" s="96" t="s">
        <v>29</v>
      </c>
      <c r="F687" s="97" t="s">
        <v>42</v>
      </c>
      <c r="G687" s="97"/>
      <c r="H687" s="96"/>
      <c r="I687" s="99" t="s">
        <v>5036</v>
      </c>
      <c r="J687" s="95">
        <v>18</v>
      </c>
      <c r="K687" s="95">
        <v>36</v>
      </c>
      <c r="L687" s="113" t="s">
        <v>5037</v>
      </c>
      <c r="M687" s="112">
        <v>-75.432419999999993</v>
      </c>
      <c r="N687" s="101" t="s">
        <v>5038</v>
      </c>
      <c r="O687" s="82" t="s">
        <v>208</v>
      </c>
      <c r="P687" s="82">
        <v>19963</v>
      </c>
      <c r="R687" s="82" t="s">
        <v>37</v>
      </c>
      <c r="T687" s="82" t="s">
        <v>38</v>
      </c>
      <c r="U687" s="97">
        <v>2015</v>
      </c>
      <c r="V687" s="98">
        <v>42019</v>
      </c>
      <c r="W687" s="97" t="s">
        <v>39</v>
      </c>
      <c r="X687" s="97"/>
      <c r="Y687" s="102"/>
      <c r="Z687" s="102"/>
    </row>
    <row r="688" spans="1:26" s="82" customFormat="1" ht="28.5" x14ac:dyDescent="0.25">
      <c r="A688" s="82" t="s">
        <v>5039</v>
      </c>
      <c r="B688" s="82" t="s">
        <v>5040</v>
      </c>
      <c r="C688" s="82" t="str">
        <f t="shared" si="23"/>
        <v>SC-246  - Town of Blades</v>
      </c>
      <c r="D688" s="96" t="s">
        <v>5041</v>
      </c>
      <c r="E688" s="96" t="s">
        <v>29</v>
      </c>
      <c r="F688" s="97" t="s">
        <v>205</v>
      </c>
      <c r="G688" s="97"/>
      <c r="H688" s="96"/>
      <c r="I688" s="99" t="s">
        <v>5042</v>
      </c>
      <c r="J688" s="95">
        <v>21</v>
      </c>
      <c r="K688" s="95">
        <v>39</v>
      </c>
      <c r="L688" s="100" t="s">
        <v>5043</v>
      </c>
      <c r="M688" s="100" t="s">
        <v>5044</v>
      </c>
      <c r="N688" s="101" t="s">
        <v>5045</v>
      </c>
      <c r="O688" s="82" t="s">
        <v>5046</v>
      </c>
      <c r="P688" s="82">
        <v>19973</v>
      </c>
      <c r="R688" s="82" t="s">
        <v>37</v>
      </c>
      <c r="T688" s="82" t="s">
        <v>38</v>
      </c>
      <c r="U688" s="97">
        <v>2015</v>
      </c>
      <c r="V688" s="98">
        <v>42072</v>
      </c>
      <c r="W688" s="97" t="s">
        <v>39</v>
      </c>
      <c r="X688" s="97"/>
      <c r="Y688" s="102"/>
      <c r="Z688" s="102"/>
    </row>
    <row r="689" spans="1:26" s="82" customFormat="1" ht="45" x14ac:dyDescent="0.25">
      <c r="A689" s="82" t="s">
        <v>5047</v>
      </c>
      <c r="B689" s="82" t="s">
        <v>5048</v>
      </c>
      <c r="C689" s="82" t="str">
        <f t="shared" si="23"/>
        <v>SC-247  - Woody's Diner</v>
      </c>
      <c r="D689" s="96" t="s">
        <v>5049</v>
      </c>
      <c r="E689" s="96" t="s">
        <v>130</v>
      </c>
      <c r="F689" s="97" t="s">
        <v>30</v>
      </c>
      <c r="G689" s="97"/>
      <c r="H689" s="96"/>
      <c r="I689" s="99" t="s">
        <v>5050</v>
      </c>
      <c r="J689" s="95">
        <v>20</v>
      </c>
      <c r="K689" s="95">
        <v>41</v>
      </c>
      <c r="L689" s="100" t="s">
        <v>5051</v>
      </c>
      <c r="M689" s="100" t="s">
        <v>5052</v>
      </c>
      <c r="N689" s="101" t="s">
        <v>5053</v>
      </c>
      <c r="O689" s="82" t="s">
        <v>3514</v>
      </c>
      <c r="P689" s="82">
        <v>19975</v>
      </c>
      <c r="R689" s="82" t="s">
        <v>37</v>
      </c>
      <c r="T689" s="82" t="s">
        <v>38</v>
      </c>
      <c r="U689" s="97">
        <v>2015</v>
      </c>
      <c r="V689" s="98">
        <v>42081</v>
      </c>
      <c r="W689" s="97" t="s">
        <v>39</v>
      </c>
      <c r="X689" s="97"/>
      <c r="Y689" s="114" t="s">
        <v>5054</v>
      </c>
      <c r="Z689" s="102" t="s">
        <v>5055</v>
      </c>
    </row>
    <row r="690" spans="1:26" s="82" customFormat="1" ht="45" x14ac:dyDescent="0.25">
      <c r="A690" s="82" t="s">
        <v>5056</v>
      </c>
      <c r="B690" s="82" t="s">
        <v>5057</v>
      </c>
      <c r="C690" s="82" t="str">
        <f t="shared" si="23"/>
        <v>SC-248  - Mt. Calvary African Methodist Episcopal Church (Seaford)</v>
      </c>
      <c r="D690" s="96" t="s">
        <v>5058</v>
      </c>
      <c r="E690" s="96" t="s">
        <v>29</v>
      </c>
      <c r="F690" s="97" t="s">
        <v>191</v>
      </c>
      <c r="G690" s="97" t="s">
        <v>293</v>
      </c>
      <c r="H690" s="96"/>
      <c r="I690" s="99" t="s">
        <v>4951</v>
      </c>
      <c r="J690" s="95">
        <v>19</v>
      </c>
      <c r="K690" s="95">
        <v>39</v>
      </c>
      <c r="L690" s="100" t="s">
        <v>5059</v>
      </c>
      <c r="M690" s="100" t="s">
        <v>5060</v>
      </c>
      <c r="N690" s="101" t="s">
        <v>5061</v>
      </c>
      <c r="O690" s="82" t="s">
        <v>3407</v>
      </c>
      <c r="P690" s="82">
        <v>19973</v>
      </c>
      <c r="R690" s="82" t="s">
        <v>37</v>
      </c>
      <c r="T690" s="82" t="s">
        <v>38</v>
      </c>
      <c r="U690" s="97">
        <v>2015</v>
      </c>
      <c r="V690" s="98">
        <v>42076</v>
      </c>
      <c r="W690" s="97" t="s">
        <v>39</v>
      </c>
      <c r="X690" s="97"/>
      <c r="Y690" s="102"/>
      <c r="Z690" s="102"/>
    </row>
    <row r="691" spans="1:26" s="82" customFormat="1" ht="45" x14ac:dyDescent="0.3">
      <c r="A691" s="82" t="s">
        <v>5062</v>
      </c>
      <c r="B691" s="82" t="s">
        <v>5063</v>
      </c>
      <c r="C691" s="82" t="str">
        <f t="shared" si="23"/>
        <v>SC-249  - Richard Allen School</v>
      </c>
      <c r="D691" s="115" t="s">
        <v>619</v>
      </c>
      <c r="E691" s="96" t="s">
        <v>29</v>
      </c>
      <c r="F691" s="97" t="s">
        <v>276</v>
      </c>
      <c r="G691" s="97" t="s">
        <v>293</v>
      </c>
      <c r="H691" s="96" t="s">
        <v>1141</v>
      </c>
      <c r="I691" s="99" t="s">
        <v>5064</v>
      </c>
      <c r="J691" s="95">
        <v>19</v>
      </c>
      <c r="K691" s="95">
        <v>37</v>
      </c>
      <c r="L691" s="100" t="s">
        <v>5065</v>
      </c>
      <c r="M691" s="100" t="s">
        <v>5066</v>
      </c>
      <c r="N691" s="101" t="s">
        <v>5067</v>
      </c>
      <c r="O691" s="82" t="s">
        <v>3471</v>
      </c>
      <c r="P691" s="82">
        <v>19947</v>
      </c>
      <c r="Q691" s="82" t="s">
        <v>5063</v>
      </c>
      <c r="R691" s="188" t="s">
        <v>5068</v>
      </c>
      <c r="T691" s="82" t="s">
        <v>38</v>
      </c>
      <c r="U691" s="97">
        <v>2015</v>
      </c>
      <c r="V691" s="98">
        <v>42171</v>
      </c>
      <c r="W691" s="97" t="s">
        <v>39</v>
      </c>
      <c r="X691" s="97"/>
      <c r="Y691" s="114" t="s">
        <v>5069</v>
      </c>
      <c r="Z691" s="114" t="s">
        <v>5070</v>
      </c>
    </row>
    <row r="692" spans="1:26" s="82" customFormat="1" ht="45" x14ac:dyDescent="0.25">
      <c r="A692" s="82" t="s">
        <v>5071</v>
      </c>
      <c r="B692" s="82" t="s">
        <v>5072</v>
      </c>
      <c r="C692" s="82" t="str">
        <f t="shared" si="23"/>
        <v>SC-250  - Village Improvement Association</v>
      </c>
      <c r="D692" s="96" t="s">
        <v>4761</v>
      </c>
      <c r="E692" s="96" t="s">
        <v>29</v>
      </c>
      <c r="F692" s="97" t="s">
        <v>42</v>
      </c>
      <c r="G692" s="97"/>
      <c r="H692" s="96"/>
      <c r="I692" s="99" t="s">
        <v>5073</v>
      </c>
      <c r="J692" s="95">
        <v>6</v>
      </c>
      <c r="K692" s="95">
        <v>20</v>
      </c>
      <c r="L692" s="100" t="s">
        <v>3598</v>
      </c>
      <c r="M692" s="100" t="s">
        <v>5074</v>
      </c>
      <c r="N692" s="101" t="s">
        <v>5075</v>
      </c>
      <c r="O692" s="82" t="s">
        <v>3810</v>
      </c>
      <c r="P692" s="82">
        <v>19971</v>
      </c>
      <c r="R692" s="82" t="s">
        <v>37</v>
      </c>
      <c r="T692" s="82" t="s">
        <v>38</v>
      </c>
      <c r="U692" s="97">
        <v>2015</v>
      </c>
      <c r="V692" s="98">
        <v>42303</v>
      </c>
      <c r="W692" s="97" t="s">
        <v>39</v>
      </c>
      <c r="X692" s="97"/>
      <c r="Y692" s="102" t="s">
        <v>5076</v>
      </c>
      <c r="Z692" s="102" t="s">
        <v>5077</v>
      </c>
    </row>
    <row r="693" spans="1:26" ht="51" x14ac:dyDescent="0.25">
      <c r="A693" s="82" t="s">
        <v>5078</v>
      </c>
      <c r="B693" s="82" t="s">
        <v>5079</v>
      </c>
      <c r="C693" s="82" t="str">
        <f t="shared" si="23"/>
        <v>SC-251  - Beebe Hospital</v>
      </c>
      <c r="D693" s="96" t="s">
        <v>5080</v>
      </c>
      <c r="E693" s="96" t="s">
        <v>29</v>
      </c>
      <c r="F693" s="97" t="s">
        <v>30</v>
      </c>
      <c r="G693" s="97"/>
      <c r="H693" s="96"/>
      <c r="I693" s="99" t="s">
        <v>5081</v>
      </c>
      <c r="J693" s="95">
        <v>6</v>
      </c>
      <c r="K693" s="95">
        <v>20</v>
      </c>
      <c r="L693" s="100">
        <v>38.7712</v>
      </c>
      <c r="M693" s="100" t="s">
        <v>5082</v>
      </c>
      <c r="N693" s="101" t="s">
        <v>5083</v>
      </c>
      <c r="O693" s="82" t="s">
        <v>3548</v>
      </c>
      <c r="P693" s="82">
        <v>19958</v>
      </c>
      <c r="Q693" s="82"/>
      <c r="R693" s="82" t="s">
        <v>37</v>
      </c>
      <c r="S693" s="82" t="s">
        <v>289</v>
      </c>
      <c r="T693" s="82" t="s">
        <v>38</v>
      </c>
      <c r="U693" s="97">
        <v>2015</v>
      </c>
      <c r="V693" s="98">
        <v>42277</v>
      </c>
      <c r="W693" s="97" t="s">
        <v>39</v>
      </c>
      <c r="X693" s="97"/>
      <c r="Y693" s="102" t="s">
        <v>5084</v>
      </c>
      <c r="Z693" s="102" t="s">
        <v>5085</v>
      </c>
    </row>
    <row r="694" spans="1:26" s="82" customFormat="1" ht="45" x14ac:dyDescent="0.25">
      <c r="A694" s="82" t="s">
        <v>5086</v>
      </c>
      <c r="B694" s="82" t="s">
        <v>5087</v>
      </c>
      <c r="C694" s="82" t="str">
        <f t="shared" si="23"/>
        <v>SC-252  - Transit of Venus Observatory</v>
      </c>
      <c r="D694" s="96" t="s">
        <v>5088</v>
      </c>
      <c r="E694" s="96" t="s">
        <v>29</v>
      </c>
      <c r="F694" s="97" t="s">
        <v>30</v>
      </c>
      <c r="G694" s="97"/>
      <c r="H694" s="96" t="s">
        <v>5089</v>
      </c>
      <c r="I694" s="99" t="s">
        <v>5090</v>
      </c>
      <c r="J694" s="95">
        <v>6</v>
      </c>
      <c r="K694" s="95">
        <v>20</v>
      </c>
      <c r="L694" s="100" t="s">
        <v>5091</v>
      </c>
      <c r="M694" s="100" t="s">
        <v>5092</v>
      </c>
      <c r="N694" s="101" t="s">
        <v>5093</v>
      </c>
      <c r="O694" s="82" t="s">
        <v>3548</v>
      </c>
      <c r="P694" s="82">
        <v>19958</v>
      </c>
      <c r="Q694" s="82" t="s">
        <v>5094</v>
      </c>
      <c r="R694" s="82" t="s">
        <v>37</v>
      </c>
      <c r="T694" s="82" t="s">
        <v>38</v>
      </c>
      <c r="U694" s="97">
        <v>2015</v>
      </c>
      <c r="V694" s="98">
        <v>42326</v>
      </c>
      <c r="W694" s="97" t="s">
        <v>39</v>
      </c>
      <c r="X694" s="97"/>
      <c r="Y694" s="102" t="s">
        <v>5095</v>
      </c>
      <c r="Z694" s="102" t="s">
        <v>5096</v>
      </c>
    </row>
    <row r="695" spans="1:26" s="82" customFormat="1" ht="30" x14ac:dyDescent="0.25">
      <c r="A695" s="82" t="s">
        <v>5097</v>
      </c>
      <c r="B695" s="82" t="s">
        <v>5098</v>
      </c>
      <c r="C695" s="82" t="str">
        <f t="shared" si="23"/>
        <v>SC-253  - Blackwater Colored School</v>
      </c>
      <c r="D695" s="96" t="s">
        <v>4168</v>
      </c>
      <c r="E695" s="96" t="s">
        <v>29</v>
      </c>
      <c r="F695" s="97" t="s">
        <v>276</v>
      </c>
      <c r="G695" s="97" t="s">
        <v>293</v>
      </c>
      <c r="H695" s="96"/>
      <c r="I695" s="99" t="s">
        <v>5099</v>
      </c>
      <c r="J695" s="95">
        <v>20</v>
      </c>
      <c r="K695" s="95">
        <v>38</v>
      </c>
      <c r="L695" s="100" t="s">
        <v>5100</v>
      </c>
      <c r="M695" s="100" t="s">
        <v>5101</v>
      </c>
      <c r="N695" s="101" t="s">
        <v>4172</v>
      </c>
      <c r="O695" s="82" t="s">
        <v>3500</v>
      </c>
      <c r="P695" s="82">
        <v>19945</v>
      </c>
      <c r="R695" s="82" t="s">
        <v>37</v>
      </c>
      <c r="T695" s="82" t="s">
        <v>38</v>
      </c>
      <c r="U695" s="97">
        <v>2015</v>
      </c>
      <c r="V695" s="98">
        <v>42341</v>
      </c>
      <c r="W695" s="97" t="s">
        <v>39</v>
      </c>
      <c r="X695" s="97"/>
      <c r="Y695" s="102"/>
      <c r="Z695" s="102"/>
    </row>
    <row r="696" spans="1:26" s="82" customFormat="1" ht="30" x14ac:dyDescent="0.25">
      <c r="A696" s="82" t="s">
        <v>5102</v>
      </c>
      <c r="B696" s="82" t="s">
        <v>5103</v>
      </c>
      <c r="C696" s="82" t="str">
        <f t="shared" si="23"/>
        <v>SC-254  - John Sudler Isaacs</v>
      </c>
      <c r="D696" s="96" t="s">
        <v>5104</v>
      </c>
      <c r="E696" s="96" t="s">
        <v>29</v>
      </c>
      <c r="F696" s="97" t="s">
        <v>62</v>
      </c>
      <c r="G696" s="97"/>
      <c r="H696" s="96"/>
      <c r="I696" s="99" t="s">
        <v>5012</v>
      </c>
      <c r="J696" s="95">
        <v>6</v>
      </c>
      <c r="K696" s="95">
        <v>36</v>
      </c>
      <c r="L696" s="100">
        <v>38.827179999999998</v>
      </c>
      <c r="M696" s="100">
        <v>-75.344018000000005</v>
      </c>
      <c r="N696" s="101" t="s">
        <v>5105</v>
      </c>
      <c r="O696" s="82" t="s">
        <v>4634</v>
      </c>
      <c r="P696" s="82">
        <v>19941</v>
      </c>
      <c r="R696" s="82" t="s">
        <v>37</v>
      </c>
      <c r="T696" s="82" t="s">
        <v>38</v>
      </c>
      <c r="U696" s="97">
        <v>2016</v>
      </c>
      <c r="V696" s="98">
        <v>42505</v>
      </c>
      <c r="W696" s="97" t="s">
        <v>39</v>
      </c>
      <c r="X696" s="97"/>
      <c r="Y696" s="102"/>
      <c r="Z696" s="102"/>
    </row>
    <row r="697" spans="1:26" s="82" customFormat="1" ht="45" x14ac:dyDescent="0.25">
      <c r="A697" s="82" t="s">
        <v>5106</v>
      </c>
      <c r="B697" s="82" t="s">
        <v>5107</v>
      </c>
      <c r="C697" s="82" t="str">
        <f t="shared" ref="C697:C728" si="24">A697 &amp; " - " &amp; B697</f>
        <v>SC-255  - The Vinyard Shipbuilding Company</v>
      </c>
      <c r="D697" s="96" t="s">
        <v>5108</v>
      </c>
      <c r="E697" s="96" t="s">
        <v>29</v>
      </c>
      <c r="F697" s="97" t="s">
        <v>30</v>
      </c>
      <c r="G697" s="97"/>
      <c r="H697" s="96" t="s">
        <v>2942</v>
      </c>
      <c r="I697" s="99" t="s">
        <v>5109</v>
      </c>
      <c r="J697" s="95">
        <v>18</v>
      </c>
      <c r="K697" s="95">
        <v>36</v>
      </c>
      <c r="L697" s="112">
        <v>38.913229999999999</v>
      </c>
      <c r="M697" s="112">
        <v>-75.423289999999994</v>
      </c>
      <c r="N697" s="101" t="s">
        <v>5110</v>
      </c>
      <c r="O697" s="82" t="s">
        <v>208</v>
      </c>
      <c r="P697" s="82">
        <v>19963</v>
      </c>
      <c r="Q697" s="82" t="s">
        <v>5111</v>
      </c>
      <c r="R697" s="82" t="s">
        <v>37</v>
      </c>
      <c r="T697" s="82" t="s">
        <v>38</v>
      </c>
      <c r="U697" s="97">
        <v>2016</v>
      </c>
      <c r="V697" s="98">
        <v>42621</v>
      </c>
      <c r="W697" s="97" t="s">
        <v>39</v>
      </c>
      <c r="X697" s="97"/>
      <c r="Y697" s="180" t="s">
        <v>5112</v>
      </c>
      <c r="Z697" s="114" t="s">
        <v>5113</v>
      </c>
    </row>
    <row r="698" spans="1:26" s="82" customFormat="1" ht="45" x14ac:dyDescent="0.25">
      <c r="A698" s="82" t="s">
        <v>5114</v>
      </c>
      <c r="B698" s="82" t="s">
        <v>5115</v>
      </c>
      <c r="C698" s="82" t="str">
        <f t="shared" si="24"/>
        <v>SC-256  - Hebron Methodist Protestant (M.P) Church</v>
      </c>
      <c r="D698" s="96" t="s">
        <v>5116</v>
      </c>
      <c r="E698" s="96" t="s">
        <v>29</v>
      </c>
      <c r="F698" s="97" t="s">
        <v>191</v>
      </c>
      <c r="G698" s="97"/>
      <c r="H698" s="96"/>
      <c r="I698" s="99" t="s">
        <v>5117</v>
      </c>
      <c r="J698" s="95">
        <v>19</v>
      </c>
      <c r="K698" s="95">
        <v>35</v>
      </c>
      <c r="L698" s="100" t="s">
        <v>5118</v>
      </c>
      <c r="M698" s="100" t="s">
        <v>5119</v>
      </c>
      <c r="N698" s="101" t="s">
        <v>5120</v>
      </c>
      <c r="O698" s="82" t="s">
        <v>3471</v>
      </c>
      <c r="P698" s="82">
        <v>19947</v>
      </c>
      <c r="R698" s="82" t="s">
        <v>37</v>
      </c>
      <c r="T698" s="82" t="s">
        <v>38</v>
      </c>
      <c r="U698" s="97">
        <v>2016</v>
      </c>
      <c r="V698" s="98">
        <v>42656</v>
      </c>
      <c r="W698" s="97" t="s">
        <v>39</v>
      </c>
      <c r="X698" s="97"/>
      <c r="Y698" s="102" t="s">
        <v>5121</v>
      </c>
      <c r="Z698" s="102" t="s">
        <v>5122</v>
      </c>
    </row>
    <row r="699" spans="1:26" s="82" customFormat="1" ht="51" x14ac:dyDescent="0.25">
      <c r="A699" s="82" t="s">
        <v>5123</v>
      </c>
      <c r="B699" s="82" t="s">
        <v>5124</v>
      </c>
      <c r="C699" s="82" t="str">
        <f t="shared" si="24"/>
        <v>SC-257  - Town of Bethel</v>
      </c>
      <c r="D699" s="96" t="s">
        <v>5125</v>
      </c>
      <c r="E699" s="96" t="s">
        <v>29</v>
      </c>
      <c r="F699" s="97" t="s">
        <v>205</v>
      </c>
      <c r="G699" s="97"/>
      <c r="H699" s="96" t="s">
        <v>385</v>
      </c>
      <c r="I699" s="99" t="s">
        <v>4358</v>
      </c>
      <c r="J699" s="95">
        <v>21</v>
      </c>
      <c r="K699" s="95">
        <v>40</v>
      </c>
      <c r="L699" s="112">
        <v>38.570439999999998</v>
      </c>
      <c r="M699" s="112">
        <v>-75.619500000000002</v>
      </c>
      <c r="N699" s="101" t="s">
        <v>5126</v>
      </c>
      <c r="O699" s="82" t="s">
        <v>3855</v>
      </c>
      <c r="P699" s="82">
        <v>19931</v>
      </c>
      <c r="R699" s="82" t="s">
        <v>37</v>
      </c>
      <c r="T699" s="82" t="s">
        <v>38</v>
      </c>
      <c r="U699" s="97">
        <v>2017</v>
      </c>
      <c r="V699" s="98">
        <v>42795</v>
      </c>
      <c r="W699" s="97" t="s">
        <v>39</v>
      </c>
      <c r="X699" s="97"/>
      <c r="Y699" s="102" t="s">
        <v>5127</v>
      </c>
      <c r="Z699" s="102" t="s">
        <v>5128</v>
      </c>
    </row>
    <row r="700" spans="1:26" s="82" customFormat="1" ht="60" x14ac:dyDescent="0.25">
      <c r="A700" s="82" t="s">
        <v>5129</v>
      </c>
      <c r="B700" s="82" t="s">
        <v>5130</v>
      </c>
      <c r="C700" s="82" t="str">
        <f t="shared" si="24"/>
        <v>SC-258  - St George African Methodist Episcopal (AME) Church and Cemetery</v>
      </c>
      <c r="D700" s="96" t="s">
        <v>5131</v>
      </c>
      <c r="E700" s="96" t="s">
        <v>29</v>
      </c>
      <c r="F700" s="97" t="s">
        <v>191</v>
      </c>
      <c r="G700" s="97" t="s">
        <v>293</v>
      </c>
      <c r="H700" s="96"/>
      <c r="I700" s="99" t="s">
        <v>5132</v>
      </c>
      <c r="J700" s="95">
        <v>6</v>
      </c>
      <c r="K700" s="95">
        <v>20</v>
      </c>
      <c r="L700" s="113" t="s">
        <v>5133</v>
      </c>
      <c r="M700" s="112">
        <v>-75.148970000000006</v>
      </c>
      <c r="N700" s="101" t="s">
        <v>5134</v>
      </c>
      <c r="O700" s="82" t="s">
        <v>3548</v>
      </c>
      <c r="P700" s="82">
        <v>19958</v>
      </c>
      <c r="R700" s="82" t="s">
        <v>37</v>
      </c>
      <c r="T700" s="82" t="s">
        <v>38</v>
      </c>
      <c r="U700" s="97">
        <v>2017</v>
      </c>
      <c r="V700" s="98">
        <v>43056</v>
      </c>
      <c r="W700" s="97" t="s">
        <v>39</v>
      </c>
      <c r="X700" s="97"/>
      <c r="Y700" s="102"/>
      <c r="Z700" s="102"/>
    </row>
    <row r="701" spans="1:26" s="82" customFormat="1" ht="45" x14ac:dyDescent="0.25">
      <c r="A701" s="82" t="s">
        <v>5135</v>
      </c>
      <c r="B701" s="82" t="s">
        <v>5136</v>
      </c>
      <c r="C701" s="82" t="str">
        <f t="shared" si="24"/>
        <v>SC-259  - St. Stephen's United Methodist Church</v>
      </c>
      <c r="D701" s="96" t="s">
        <v>3774</v>
      </c>
      <c r="E701" s="96" t="s">
        <v>29</v>
      </c>
      <c r="F701" s="97" t="s">
        <v>191</v>
      </c>
      <c r="G701" s="97"/>
      <c r="H701" s="96"/>
      <c r="I701" s="99" t="s">
        <v>4358</v>
      </c>
      <c r="J701" s="95">
        <v>21</v>
      </c>
      <c r="K701" s="95">
        <v>40</v>
      </c>
      <c r="L701" s="100">
        <v>38.456060000000001</v>
      </c>
      <c r="M701" s="100">
        <v>-75.57629</v>
      </c>
      <c r="N701" s="101" t="s">
        <v>5137</v>
      </c>
      <c r="O701" s="82" t="s">
        <v>3448</v>
      </c>
      <c r="P701" s="82">
        <v>19940</v>
      </c>
      <c r="R701" s="82" t="s">
        <v>37</v>
      </c>
      <c r="T701" s="82" t="s">
        <v>38</v>
      </c>
      <c r="U701" s="97">
        <v>2017</v>
      </c>
      <c r="V701" s="98">
        <v>42982</v>
      </c>
      <c r="W701" s="97" t="s">
        <v>39</v>
      </c>
      <c r="X701" s="97"/>
      <c r="Y701" s="102" t="s">
        <v>5138</v>
      </c>
      <c r="Z701" s="102" t="s">
        <v>5139</v>
      </c>
    </row>
    <row r="702" spans="1:26" s="82" customFormat="1" ht="38.25" x14ac:dyDescent="0.25">
      <c r="A702" s="82" t="s">
        <v>5140</v>
      </c>
      <c r="B702" s="82" t="s">
        <v>5141</v>
      </c>
      <c r="C702" s="82" t="str">
        <f t="shared" si="24"/>
        <v>SC-260  - Hiram Lodge No. 21 A.F. &amp; A.M.</v>
      </c>
      <c r="D702" s="96" t="s">
        <v>5142</v>
      </c>
      <c r="E702" s="96" t="s">
        <v>29</v>
      </c>
      <c r="F702" s="97" t="s">
        <v>42</v>
      </c>
      <c r="G702" s="97"/>
      <c r="H702" s="96"/>
      <c r="I702" s="99" t="s">
        <v>4951</v>
      </c>
      <c r="J702" s="95">
        <v>21</v>
      </c>
      <c r="K702" s="95">
        <v>39</v>
      </c>
      <c r="L702" s="112">
        <v>38.641010000000001</v>
      </c>
      <c r="M702" s="112">
        <v>-75.611840000000001</v>
      </c>
      <c r="N702" s="101" t="s">
        <v>5143</v>
      </c>
      <c r="O702" s="82" t="s">
        <v>3407</v>
      </c>
      <c r="P702" s="82">
        <v>19973</v>
      </c>
      <c r="R702" s="82" t="s">
        <v>37</v>
      </c>
      <c r="T702" s="82" t="s">
        <v>38</v>
      </c>
      <c r="U702" s="97">
        <v>2018</v>
      </c>
      <c r="V702" s="98">
        <v>43205</v>
      </c>
      <c r="W702" s="97" t="s">
        <v>39</v>
      </c>
      <c r="X702" s="97"/>
      <c r="Y702" s="102"/>
      <c r="Z702" s="102"/>
    </row>
    <row r="703" spans="1:26" s="82" customFormat="1" ht="45" x14ac:dyDescent="0.25">
      <c r="A703" s="82" t="s">
        <v>5144</v>
      </c>
      <c r="B703" s="82" t="s">
        <v>5145</v>
      </c>
      <c r="C703" s="82" t="str">
        <f t="shared" si="24"/>
        <v>SC-261  - Stockley Tavern</v>
      </c>
      <c r="D703" s="96" t="s">
        <v>4117</v>
      </c>
      <c r="E703" s="96" t="s">
        <v>29</v>
      </c>
      <c r="F703" s="97" t="s">
        <v>30</v>
      </c>
      <c r="G703" s="121"/>
      <c r="H703" s="96"/>
      <c r="I703" s="99" t="s">
        <v>5146</v>
      </c>
      <c r="J703" s="95">
        <v>19</v>
      </c>
      <c r="K703" s="95">
        <v>37</v>
      </c>
      <c r="L703" s="112">
        <v>38.630049999999997</v>
      </c>
      <c r="M703" s="112">
        <v>-75.34675</v>
      </c>
      <c r="N703" s="101" t="s">
        <v>5147</v>
      </c>
      <c r="O703" s="101" t="s">
        <v>3471</v>
      </c>
      <c r="P703" s="82">
        <v>19947</v>
      </c>
      <c r="R703" s="82" t="s">
        <v>37</v>
      </c>
      <c r="T703" s="82" t="s">
        <v>38</v>
      </c>
      <c r="U703" s="97">
        <v>2017</v>
      </c>
      <c r="V703" s="98">
        <v>43192</v>
      </c>
      <c r="W703" s="97" t="s">
        <v>39</v>
      </c>
      <c r="X703" s="97">
        <v>2018</v>
      </c>
      <c r="Y703" s="102" t="s">
        <v>5148</v>
      </c>
      <c r="Z703" s="102" t="s">
        <v>5149</v>
      </c>
    </row>
    <row r="704" spans="1:26" s="82" customFormat="1" ht="51" x14ac:dyDescent="0.25">
      <c r="A704" s="82" t="s">
        <v>5150</v>
      </c>
      <c r="B704" s="82" t="s">
        <v>5151</v>
      </c>
      <c r="C704" s="82" t="str">
        <f t="shared" si="24"/>
        <v>SC-262  - Rehoboth Beach Public Library</v>
      </c>
      <c r="D704" s="96" t="s">
        <v>5152</v>
      </c>
      <c r="E704" s="96" t="s">
        <v>29</v>
      </c>
      <c r="F704" s="97" t="s">
        <v>30</v>
      </c>
      <c r="G704" s="97"/>
      <c r="H704" s="96"/>
      <c r="I704" s="99" t="s">
        <v>5153</v>
      </c>
      <c r="J704" s="95">
        <v>6</v>
      </c>
      <c r="K704" s="95">
        <v>20</v>
      </c>
      <c r="L704" s="100" t="s">
        <v>5154</v>
      </c>
      <c r="M704" s="100" t="s">
        <v>5155</v>
      </c>
      <c r="N704" s="101" t="s">
        <v>5156</v>
      </c>
      <c r="O704" s="82" t="s">
        <v>3810</v>
      </c>
      <c r="P704" s="82">
        <v>19971</v>
      </c>
      <c r="R704" s="82" t="s">
        <v>37</v>
      </c>
      <c r="S704" s="101"/>
      <c r="T704" s="82" t="s">
        <v>38</v>
      </c>
      <c r="U704" s="97">
        <v>2017</v>
      </c>
      <c r="V704" s="184">
        <v>43004</v>
      </c>
      <c r="W704" s="97" t="s">
        <v>39</v>
      </c>
      <c r="X704" s="97">
        <v>2018</v>
      </c>
      <c r="Y704" s="102" t="s">
        <v>5157</v>
      </c>
      <c r="Z704" s="102" t="s">
        <v>5158</v>
      </c>
    </row>
    <row r="705" spans="1:26" s="82" customFormat="1" ht="30" x14ac:dyDescent="0.25">
      <c r="A705" s="82" t="s">
        <v>5159</v>
      </c>
      <c r="B705" s="82" t="s">
        <v>5160</v>
      </c>
      <c r="C705" s="82" t="str">
        <f t="shared" si="24"/>
        <v>SC-263  - Georgetown Speedway</v>
      </c>
      <c r="D705" s="96" t="s">
        <v>5161</v>
      </c>
      <c r="E705" s="96" t="s">
        <v>29</v>
      </c>
      <c r="F705" s="97" t="s">
        <v>30</v>
      </c>
      <c r="G705" s="97"/>
      <c r="H705" s="96"/>
      <c r="I705" s="99" t="s">
        <v>5146</v>
      </c>
      <c r="J705" s="95">
        <v>19</v>
      </c>
      <c r="K705" s="95">
        <v>37</v>
      </c>
      <c r="L705" s="112">
        <v>38.623420000000003</v>
      </c>
      <c r="M705" s="112">
        <v>-75.363029999999995</v>
      </c>
      <c r="N705" s="101" t="s">
        <v>5162</v>
      </c>
      <c r="O705" s="82" t="s">
        <v>3471</v>
      </c>
      <c r="P705" s="82">
        <v>19947</v>
      </c>
      <c r="R705" s="82" t="s">
        <v>37</v>
      </c>
      <c r="T705" s="82" t="s">
        <v>38</v>
      </c>
      <c r="U705" s="97">
        <v>2018</v>
      </c>
      <c r="V705" s="98">
        <v>43160</v>
      </c>
      <c r="W705" s="97" t="s">
        <v>39</v>
      </c>
      <c r="X705" s="97"/>
      <c r="Y705" s="102"/>
      <c r="Z705" s="102"/>
    </row>
    <row r="706" spans="1:26" s="82" customFormat="1" ht="38.25" x14ac:dyDescent="0.25">
      <c r="A706" s="82" t="s">
        <v>5163</v>
      </c>
      <c r="B706" s="82" t="s">
        <v>5164</v>
      </c>
      <c r="C706" s="82" t="str">
        <f t="shared" si="24"/>
        <v>SC-264  - Bethel Community House</v>
      </c>
      <c r="D706" s="96" t="s">
        <v>5165</v>
      </c>
      <c r="E706" s="96" t="s">
        <v>29</v>
      </c>
      <c r="F706" s="97" t="s">
        <v>30</v>
      </c>
      <c r="G706" s="97"/>
      <c r="H706" s="96"/>
      <c r="I706" s="99" t="s">
        <v>4358</v>
      </c>
      <c r="J706" s="95">
        <v>21</v>
      </c>
      <c r="K706" s="95">
        <v>40</v>
      </c>
      <c r="L706" s="113" t="s">
        <v>5166</v>
      </c>
      <c r="M706" s="112">
        <v>-75.618610000000004</v>
      </c>
      <c r="N706" s="101" t="s">
        <v>5167</v>
      </c>
      <c r="O706" s="82" t="s">
        <v>3855</v>
      </c>
      <c r="P706" s="82">
        <v>19931</v>
      </c>
      <c r="R706" s="82" t="s">
        <v>37</v>
      </c>
      <c r="T706" s="82" t="s">
        <v>38</v>
      </c>
      <c r="U706" s="97">
        <v>2018</v>
      </c>
      <c r="V706" s="98">
        <v>43395</v>
      </c>
      <c r="W706" s="97" t="s">
        <v>39</v>
      </c>
      <c r="X706" s="97"/>
      <c r="Y706" s="210"/>
      <c r="Z706" s="102"/>
    </row>
    <row r="707" spans="1:26" s="82" customFormat="1" ht="51" x14ac:dyDescent="0.25">
      <c r="A707" s="101" t="s">
        <v>5168</v>
      </c>
      <c r="B707" s="82" t="s">
        <v>5169</v>
      </c>
      <c r="C707" s="82" t="str">
        <f t="shared" si="24"/>
        <v>SC-265  - Children's Fishing Pier</v>
      </c>
      <c r="D707" s="96" t="s">
        <v>5170</v>
      </c>
      <c r="E707" s="96" t="s">
        <v>29</v>
      </c>
      <c r="F707" s="97" t="s">
        <v>30</v>
      </c>
      <c r="G707" s="97"/>
      <c r="H707" s="96"/>
      <c r="I707" s="99" t="s">
        <v>5073</v>
      </c>
      <c r="J707" s="95">
        <v>6</v>
      </c>
      <c r="K707" s="95">
        <v>20</v>
      </c>
      <c r="L707" s="112">
        <v>38.720489999999998</v>
      </c>
      <c r="M707" s="112">
        <v>-75.080129999999997</v>
      </c>
      <c r="N707" s="101" t="s">
        <v>5171</v>
      </c>
      <c r="O707" s="82" t="s">
        <v>3810</v>
      </c>
      <c r="P707" s="82">
        <v>19971</v>
      </c>
      <c r="R707" s="82" t="s">
        <v>5172</v>
      </c>
      <c r="S707" s="82" t="s">
        <v>5173</v>
      </c>
      <c r="T707" s="82" t="s">
        <v>38</v>
      </c>
      <c r="U707" s="97">
        <v>2018</v>
      </c>
      <c r="V707" s="98">
        <v>43216</v>
      </c>
      <c r="W707" s="97" t="s">
        <v>39</v>
      </c>
      <c r="X707" s="97"/>
      <c r="Y707" s="102"/>
      <c r="Z707" s="102"/>
    </row>
    <row r="708" spans="1:26" s="82" customFormat="1" ht="45" x14ac:dyDescent="0.25">
      <c r="A708" s="82" t="s">
        <v>5174</v>
      </c>
      <c r="B708" s="82" t="s">
        <v>5175</v>
      </c>
      <c r="C708" s="82" t="str">
        <f t="shared" si="24"/>
        <v>SC-266  - Rabbit's Ferry School 201-C</v>
      </c>
      <c r="D708" s="96" t="s">
        <v>4868</v>
      </c>
      <c r="E708" s="96" t="s">
        <v>29</v>
      </c>
      <c r="F708" s="97" t="s">
        <v>276</v>
      </c>
      <c r="G708" s="97" t="s">
        <v>293</v>
      </c>
      <c r="H708" s="96"/>
      <c r="I708" s="99" t="s">
        <v>5176</v>
      </c>
      <c r="J708" s="95">
        <v>6</v>
      </c>
      <c r="K708" s="95">
        <v>20</v>
      </c>
      <c r="L708" s="100" t="s">
        <v>5177</v>
      </c>
      <c r="M708" s="100" t="s">
        <v>5178</v>
      </c>
      <c r="N708" s="101" t="s">
        <v>5179</v>
      </c>
      <c r="O708" s="82" t="s">
        <v>3548</v>
      </c>
      <c r="P708" s="82">
        <v>19958</v>
      </c>
      <c r="R708" s="82" t="s">
        <v>37</v>
      </c>
      <c r="T708" s="82" t="s">
        <v>38</v>
      </c>
      <c r="U708" s="97">
        <v>2018</v>
      </c>
      <c r="V708" s="98">
        <v>43448</v>
      </c>
      <c r="W708" s="97" t="s">
        <v>39</v>
      </c>
      <c r="X708" s="97"/>
      <c r="Y708" s="102" t="s">
        <v>5180</v>
      </c>
      <c r="Z708" s="102" t="s">
        <v>5181</v>
      </c>
    </row>
    <row r="709" spans="1:26" s="82" customFormat="1" ht="45" x14ac:dyDescent="0.25">
      <c r="A709" s="82" t="s">
        <v>5182</v>
      </c>
      <c r="B709" s="82" t="s">
        <v>5183</v>
      </c>
      <c r="C709" s="82" t="str">
        <f t="shared" si="24"/>
        <v>SC-267  - Milton Theatre</v>
      </c>
      <c r="D709" s="96" t="s">
        <v>5184</v>
      </c>
      <c r="E709" s="96" t="s">
        <v>29</v>
      </c>
      <c r="F709" s="97" t="s">
        <v>30</v>
      </c>
      <c r="G709" s="97"/>
      <c r="H709" s="96"/>
      <c r="I709" s="99" t="s">
        <v>5185</v>
      </c>
      <c r="J709" s="95">
        <v>6</v>
      </c>
      <c r="K709" s="95">
        <v>20</v>
      </c>
      <c r="L709" s="113" t="s">
        <v>5186</v>
      </c>
      <c r="M709" s="112">
        <v>-75.310879999999997</v>
      </c>
      <c r="N709" s="101" t="s">
        <v>5187</v>
      </c>
      <c r="O709" s="82" t="s">
        <v>3534</v>
      </c>
      <c r="P709" s="82">
        <v>19968</v>
      </c>
      <c r="R709" s="82" t="s">
        <v>37</v>
      </c>
      <c r="T709" s="82" t="s">
        <v>38</v>
      </c>
      <c r="U709" s="97">
        <v>2018</v>
      </c>
      <c r="V709" s="98">
        <v>43286</v>
      </c>
      <c r="W709" s="97" t="s">
        <v>39</v>
      </c>
      <c r="X709" s="97"/>
      <c r="Y709" s="183" t="s">
        <v>5188</v>
      </c>
      <c r="Z709" s="102" t="s">
        <v>5189</v>
      </c>
    </row>
    <row r="710" spans="1:26" s="82" customFormat="1" ht="28.5" x14ac:dyDescent="0.25">
      <c r="A710" s="82" t="s">
        <v>5190</v>
      </c>
      <c r="B710" s="82" t="s">
        <v>5191</v>
      </c>
      <c r="C710" s="82" t="str">
        <f t="shared" si="24"/>
        <v>SC-268 - Jack Lewis</v>
      </c>
      <c r="D710" s="96" t="s">
        <v>3788</v>
      </c>
      <c r="E710" s="96" t="s">
        <v>29</v>
      </c>
      <c r="F710" s="97" t="s">
        <v>1123</v>
      </c>
      <c r="G710" s="97"/>
      <c r="H710" s="96"/>
      <c r="I710" s="99" t="s">
        <v>5192</v>
      </c>
      <c r="J710" s="95">
        <v>18</v>
      </c>
      <c r="K710" s="95">
        <v>35</v>
      </c>
      <c r="L710" s="113">
        <v>38.73648</v>
      </c>
      <c r="M710" s="112">
        <v>-75.602059999999994</v>
      </c>
      <c r="N710" s="101" t="s">
        <v>5193</v>
      </c>
      <c r="O710" s="82" t="s">
        <v>3400</v>
      </c>
      <c r="P710" s="82">
        <v>19933</v>
      </c>
      <c r="R710" s="82" t="s">
        <v>37</v>
      </c>
      <c r="T710" s="82" t="s">
        <v>38</v>
      </c>
      <c r="U710" s="97">
        <v>2019</v>
      </c>
      <c r="V710" s="98">
        <v>43388</v>
      </c>
      <c r="W710" s="97" t="s">
        <v>39</v>
      </c>
      <c r="X710" s="97"/>
      <c r="Y710" s="102"/>
      <c r="Z710" s="102"/>
    </row>
    <row r="711" spans="1:26" s="82" customFormat="1" ht="30" x14ac:dyDescent="0.25">
      <c r="A711" s="82" t="s">
        <v>5194</v>
      </c>
      <c r="B711" s="82" t="s">
        <v>5195</v>
      </c>
      <c r="C711" s="82" t="str">
        <f t="shared" si="24"/>
        <v>SC-269  - Seaford High School</v>
      </c>
      <c r="D711" s="96" t="s">
        <v>3418</v>
      </c>
      <c r="E711" s="96" t="s">
        <v>29</v>
      </c>
      <c r="F711" s="97" t="s">
        <v>276</v>
      </c>
      <c r="G711" s="97"/>
      <c r="H711" s="96"/>
      <c r="I711" s="99" t="s">
        <v>4951</v>
      </c>
      <c r="J711" s="95">
        <v>21</v>
      </c>
      <c r="K711" s="95">
        <v>39</v>
      </c>
      <c r="L711" s="112">
        <v>38.647759999999998</v>
      </c>
      <c r="M711" s="112">
        <v>-75.612120000000004</v>
      </c>
      <c r="N711" s="101" t="s">
        <v>5196</v>
      </c>
      <c r="O711" s="82" t="s">
        <v>3407</v>
      </c>
      <c r="P711" s="82">
        <v>19973</v>
      </c>
      <c r="R711" s="82" t="s">
        <v>37</v>
      </c>
      <c r="T711" s="82" t="s">
        <v>38</v>
      </c>
      <c r="U711" s="97">
        <v>2020</v>
      </c>
      <c r="V711" s="98">
        <v>44040</v>
      </c>
      <c r="W711" s="97" t="s">
        <v>39</v>
      </c>
      <c r="X711" s="97"/>
      <c r="Y711" s="102"/>
      <c r="Z711" s="102"/>
    </row>
    <row r="712" spans="1:26" s="82" customFormat="1" ht="45" x14ac:dyDescent="0.25">
      <c r="A712" s="82" t="s">
        <v>5197</v>
      </c>
      <c r="B712" s="82" t="s">
        <v>5198</v>
      </c>
      <c r="C712" s="82" t="str">
        <f t="shared" si="24"/>
        <v>SC-270  - Frederick Douglass School</v>
      </c>
      <c r="D712" s="96" t="s">
        <v>5199</v>
      </c>
      <c r="E712" s="96" t="s">
        <v>29</v>
      </c>
      <c r="F712" s="97" t="s">
        <v>276</v>
      </c>
      <c r="G712" s="97" t="s">
        <v>293</v>
      </c>
      <c r="H712" s="96" t="s">
        <v>410</v>
      </c>
      <c r="I712" s="99" t="s">
        <v>4951</v>
      </c>
      <c r="J712" s="95">
        <v>21</v>
      </c>
      <c r="K712" s="95">
        <v>39</v>
      </c>
      <c r="L712" s="112">
        <v>38.645850000000003</v>
      </c>
      <c r="M712" s="112">
        <v>-75.603989999999996</v>
      </c>
      <c r="N712" s="101" t="s">
        <v>5200</v>
      </c>
      <c r="O712" s="82" t="s">
        <v>3407</v>
      </c>
      <c r="P712" s="82">
        <v>19973</v>
      </c>
      <c r="R712" s="82" t="s">
        <v>37</v>
      </c>
      <c r="T712" s="82" t="s">
        <v>38</v>
      </c>
      <c r="U712" s="97">
        <v>2020</v>
      </c>
      <c r="V712" s="98">
        <v>44040</v>
      </c>
      <c r="W712" s="97" t="s">
        <v>39</v>
      </c>
      <c r="X712" s="97"/>
      <c r="Y712" s="102" t="s">
        <v>5201</v>
      </c>
      <c r="Z712" s="102" t="s">
        <v>5202</v>
      </c>
    </row>
    <row r="713" spans="1:26" s="82" customFormat="1" ht="30" x14ac:dyDescent="0.25">
      <c r="A713" s="82" t="s">
        <v>5203</v>
      </c>
      <c r="B713" s="82" t="s">
        <v>5204</v>
      </c>
      <c r="C713" s="82" t="str">
        <f t="shared" si="24"/>
        <v>SC-271  - Israel United Methodist Church</v>
      </c>
      <c r="D713" s="96" t="s">
        <v>5205</v>
      </c>
      <c r="E713" s="96" t="s">
        <v>29</v>
      </c>
      <c r="F713" s="97" t="s">
        <v>191</v>
      </c>
      <c r="G713" s="97" t="s">
        <v>293</v>
      </c>
      <c r="H713" s="96"/>
      <c r="I713" s="99" t="s">
        <v>5206</v>
      </c>
      <c r="J713" s="95">
        <v>6</v>
      </c>
      <c r="K713" s="95">
        <v>14</v>
      </c>
      <c r="L713" s="112">
        <v>38.743369999999999</v>
      </c>
      <c r="M713" s="112">
        <v>-75.169650000000004</v>
      </c>
      <c r="N713" s="101" t="s">
        <v>5207</v>
      </c>
      <c r="O713" s="82" t="s">
        <v>3548</v>
      </c>
      <c r="P713" s="82">
        <v>19958</v>
      </c>
      <c r="R713" s="82" t="s">
        <v>37</v>
      </c>
      <c r="T713" s="82" t="s">
        <v>38</v>
      </c>
      <c r="U713" s="97">
        <v>2018</v>
      </c>
      <c r="V713" s="98">
        <v>43445</v>
      </c>
      <c r="W713" s="97" t="s">
        <v>39</v>
      </c>
      <c r="X713" s="97"/>
      <c r="Y713" s="102"/>
      <c r="Z713" s="102"/>
    </row>
    <row r="714" spans="1:26" s="82" customFormat="1" ht="30" x14ac:dyDescent="0.25">
      <c r="A714" s="82" t="s">
        <v>5208</v>
      </c>
      <c r="B714" s="82" t="s">
        <v>5209</v>
      </c>
      <c r="C714" s="82" t="str">
        <f t="shared" si="24"/>
        <v>SC-272  - Seaford District Library</v>
      </c>
      <c r="D714" s="96" t="s">
        <v>5199</v>
      </c>
      <c r="E714" s="96" t="s">
        <v>29</v>
      </c>
      <c r="F714" s="97" t="s">
        <v>30</v>
      </c>
      <c r="G714" s="97"/>
      <c r="H714" s="96"/>
      <c r="I714" s="99" t="s">
        <v>4951</v>
      </c>
      <c r="J714" s="95">
        <v>21</v>
      </c>
      <c r="K714" s="95">
        <v>39</v>
      </c>
      <c r="L714" s="112">
        <v>38.65652</v>
      </c>
      <c r="M714" s="112">
        <v>-75.618939999999995</v>
      </c>
      <c r="N714" s="101" t="s">
        <v>5210</v>
      </c>
      <c r="O714" s="82" t="s">
        <v>3407</v>
      </c>
      <c r="P714" s="82">
        <v>19973</v>
      </c>
      <c r="R714" s="82" t="s">
        <v>37</v>
      </c>
      <c r="T714" s="82" t="s">
        <v>38</v>
      </c>
      <c r="U714" s="97">
        <v>2019</v>
      </c>
      <c r="V714" s="98">
        <v>43614</v>
      </c>
      <c r="W714" s="97" t="s">
        <v>39</v>
      </c>
      <c r="X714" s="97"/>
      <c r="Y714" s="102"/>
      <c r="Z714" s="102"/>
    </row>
    <row r="715" spans="1:26" s="82" customFormat="1" ht="30" x14ac:dyDescent="0.25">
      <c r="A715" s="82" t="s">
        <v>5211</v>
      </c>
      <c r="B715" s="82" t="s">
        <v>5212</v>
      </c>
      <c r="C715" s="82" t="str">
        <f t="shared" si="24"/>
        <v>SC-273  - Acorn Club of Seaford</v>
      </c>
      <c r="D715" s="96" t="s">
        <v>5199</v>
      </c>
      <c r="E715" s="96" t="s">
        <v>29</v>
      </c>
      <c r="F715" s="97" t="s">
        <v>42</v>
      </c>
      <c r="G715" s="97"/>
      <c r="H715" s="96"/>
      <c r="I715" s="99" t="s">
        <v>4951</v>
      </c>
      <c r="J715" s="95">
        <v>21</v>
      </c>
      <c r="K715" s="95">
        <v>39</v>
      </c>
      <c r="L715" s="113" t="s">
        <v>5213</v>
      </c>
      <c r="M715" s="112">
        <v>-75.61985</v>
      </c>
      <c r="N715" s="101" t="s">
        <v>5210</v>
      </c>
      <c r="O715" s="82" t="s">
        <v>3407</v>
      </c>
      <c r="P715" s="82">
        <v>19973</v>
      </c>
      <c r="R715" s="82" t="s">
        <v>37</v>
      </c>
      <c r="T715" s="82" t="s">
        <v>38</v>
      </c>
      <c r="U715" s="97">
        <v>2019</v>
      </c>
      <c r="V715" s="98">
        <v>43614</v>
      </c>
      <c r="W715" s="97" t="s">
        <v>39</v>
      </c>
      <c r="X715" s="97"/>
      <c r="Y715" s="102"/>
      <c r="Z715" s="102"/>
    </row>
    <row r="716" spans="1:26" s="82" customFormat="1" ht="45" x14ac:dyDescent="0.25">
      <c r="A716" s="82" t="s">
        <v>5214</v>
      </c>
      <c r="B716" s="82" t="s">
        <v>5215</v>
      </c>
      <c r="C716" s="82" t="str">
        <f t="shared" si="24"/>
        <v>SC-274  - Paul Laurence Dunbar School</v>
      </c>
      <c r="D716" s="96" t="s">
        <v>4524</v>
      </c>
      <c r="E716" s="96" t="s">
        <v>29</v>
      </c>
      <c r="F716" s="97" t="s">
        <v>276</v>
      </c>
      <c r="G716" s="97" t="s">
        <v>293</v>
      </c>
      <c r="H716" s="96"/>
      <c r="I716" s="99" t="s">
        <v>4951</v>
      </c>
      <c r="J716" s="95">
        <v>21</v>
      </c>
      <c r="K716" s="95">
        <v>40</v>
      </c>
      <c r="L716" s="112">
        <v>38.556629999999998</v>
      </c>
      <c r="M716" s="112">
        <v>-75.581249999999997</v>
      </c>
      <c r="N716" s="101" t="s">
        <v>5216</v>
      </c>
      <c r="O716" s="82" t="s">
        <v>3428</v>
      </c>
      <c r="P716" s="82">
        <v>19956</v>
      </c>
      <c r="R716" s="82" t="s">
        <v>37</v>
      </c>
      <c r="T716" s="82" t="s">
        <v>38</v>
      </c>
      <c r="U716" s="97">
        <v>2019</v>
      </c>
      <c r="V716" s="98">
        <v>43712</v>
      </c>
      <c r="W716" s="97" t="s">
        <v>39</v>
      </c>
      <c r="X716" s="97"/>
      <c r="Y716" s="114" t="s">
        <v>5217</v>
      </c>
      <c r="Z716" s="102" t="s">
        <v>5218</v>
      </c>
    </row>
    <row r="717" spans="1:26" s="82" customFormat="1" ht="45" x14ac:dyDescent="0.25">
      <c r="A717" s="82" t="s">
        <v>5219</v>
      </c>
      <c r="B717" s="82" t="s">
        <v>5220</v>
      </c>
      <c r="C717" s="82" t="str">
        <f t="shared" si="24"/>
        <v>SC-275  - Mount Pleasant United Methodist Church (Rehoboth)</v>
      </c>
      <c r="D717" s="96" t="s">
        <v>5221</v>
      </c>
      <c r="E717" s="96" t="s">
        <v>29</v>
      </c>
      <c r="F717" s="97" t="s">
        <v>191</v>
      </c>
      <c r="G717" s="97" t="s">
        <v>293</v>
      </c>
      <c r="H717" s="96"/>
      <c r="I717" s="99" t="s">
        <v>5206</v>
      </c>
      <c r="J717" s="95">
        <v>6</v>
      </c>
      <c r="K717" s="95">
        <v>14</v>
      </c>
      <c r="L717" s="112">
        <v>38.71425</v>
      </c>
      <c r="M717" s="112">
        <v>-75.095590000000001</v>
      </c>
      <c r="N717" s="101" t="s">
        <v>5222</v>
      </c>
      <c r="O717" s="82" t="s">
        <v>3810</v>
      </c>
      <c r="P717" s="82">
        <v>19971</v>
      </c>
      <c r="R717" s="82" t="s">
        <v>37</v>
      </c>
      <c r="T717" s="82" t="s">
        <v>38</v>
      </c>
      <c r="U717" s="97">
        <v>2019</v>
      </c>
      <c r="V717" s="98">
        <v>43741</v>
      </c>
      <c r="W717" s="97" t="s">
        <v>39</v>
      </c>
      <c r="X717" s="97"/>
      <c r="Y717" s="102"/>
      <c r="Z717" s="102"/>
    </row>
    <row r="718" spans="1:26" s="82" customFormat="1" x14ac:dyDescent="0.25">
      <c r="A718" s="7" t="s">
        <v>5223</v>
      </c>
      <c r="B718" s="7" t="s">
        <v>4317</v>
      </c>
      <c r="C718" s="7" t="str">
        <f t="shared" si="24"/>
        <v>SC-276  - UNASSIGNED</v>
      </c>
      <c r="D718" s="24"/>
      <c r="E718" s="24" t="s">
        <v>66</v>
      </c>
      <c r="F718" s="54"/>
      <c r="G718" s="54"/>
      <c r="H718" s="24"/>
      <c r="I718" s="55"/>
      <c r="J718" s="53"/>
      <c r="K718" s="53"/>
      <c r="L718" s="56"/>
      <c r="M718" s="56"/>
      <c r="N718" s="57"/>
      <c r="O718" s="7"/>
      <c r="P718" s="7"/>
      <c r="Q718" s="7"/>
      <c r="R718" s="7" t="s">
        <v>37</v>
      </c>
      <c r="S718" s="7"/>
      <c r="T718" s="7"/>
      <c r="U718" s="54"/>
      <c r="V718" s="54"/>
      <c r="W718" s="54"/>
      <c r="X718" s="54"/>
      <c r="Y718" s="58"/>
      <c r="Z718" s="58"/>
    </row>
    <row r="719" spans="1:26" s="82" customFormat="1" ht="45" x14ac:dyDescent="0.25">
      <c r="A719" s="82" t="s">
        <v>5224</v>
      </c>
      <c r="B719" s="82" t="s">
        <v>5225</v>
      </c>
      <c r="C719" s="82" t="str">
        <f t="shared" si="24"/>
        <v>SC-277  - Woodland School</v>
      </c>
      <c r="D719" s="96" t="s">
        <v>5226</v>
      </c>
      <c r="E719" s="96" t="s">
        <v>29</v>
      </c>
      <c r="F719" s="97" t="s">
        <v>276</v>
      </c>
      <c r="G719" s="97"/>
      <c r="H719" s="96" t="s">
        <v>5227</v>
      </c>
      <c r="I719" s="99" t="s">
        <v>4951</v>
      </c>
      <c r="J719" s="95">
        <v>21</v>
      </c>
      <c r="K719" s="95">
        <v>39</v>
      </c>
      <c r="L719" s="112">
        <v>38.610660000000003</v>
      </c>
      <c r="M719" s="112">
        <v>-75.657210000000006</v>
      </c>
      <c r="N719" s="101" t="s">
        <v>5228</v>
      </c>
      <c r="O719" s="82" t="s">
        <v>3407</v>
      </c>
      <c r="P719" s="82">
        <v>19973</v>
      </c>
      <c r="R719" s="82" t="s">
        <v>37</v>
      </c>
      <c r="T719" s="82" t="s">
        <v>38</v>
      </c>
      <c r="U719" s="97">
        <v>2019</v>
      </c>
      <c r="V719" s="98">
        <v>43719</v>
      </c>
      <c r="W719" s="97" t="s">
        <v>39</v>
      </c>
      <c r="X719" s="97"/>
      <c r="Y719" s="102" t="s">
        <v>5229</v>
      </c>
      <c r="Z719" s="102" t="s">
        <v>5230</v>
      </c>
    </row>
    <row r="720" spans="1:26" s="82" customFormat="1" ht="45" x14ac:dyDescent="0.25">
      <c r="A720" s="82" t="s">
        <v>5231</v>
      </c>
      <c r="B720" s="82" t="s">
        <v>5232</v>
      </c>
      <c r="C720" s="82" t="str">
        <f t="shared" si="24"/>
        <v>SC-278  - Delaware International Speedway</v>
      </c>
      <c r="D720" s="96" t="s">
        <v>5233</v>
      </c>
      <c r="E720" s="96" t="s">
        <v>29</v>
      </c>
      <c r="F720" s="97" t="s">
        <v>30</v>
      </c>
      <c r="G720" s="97"/>
      <c r="H720" s="96"/>
      <c r="I720" s="99" t="s">
        <v>4358</v>
      </c>
      <c r="J720" s="95">
        <v>21</v>
      </c>
      <c r="K720" s="95">
        <v>40</v>
      </c>
      <c r="L720" s="112">
        <v>38.46611</v>
      </c>
      <c r="M720" s="112">
        <v>-75.558369999999996</v>
      </c>
      <c r="N720" s="101" t="s">
        <v>5234</v>
      </c>
      <c r="O720" s="82" t="s">
        <v>3448</v>
      </c>
      <c r="P720" s="82">
        <v>19940</v>
      </c>
      <c r="R720" s="82" t="s">
        <v>37</v>
      </c>
      <c r="T720" s="82" t="s">
        <v>38</v>
      </c>
      <c r="U720" s="97">
        <v>2019</v>
      </c>
      <c r="V720" s="98">
        <v>43782</v>
      </c>
      <c r="W720" s="97" t="s">
        <v>39</v>
      </c>
      <c r="X720" s="97"/>
      <c r="Y720" s="102"/>
      <c r="Z720" s="102"/>
    </row>
    <row r="721" spans="1:26" s="82" customFormat="1" ht="45" x14ac:dyDescent="0.25">
      <c r="A721" s="82" t="s">
        <v>5235</v>
      </c>
      <c r="B721" s="82" t="s">
        <v>5236</v>
      </c>
      <c r="C721" s="82" t="str">
        <f t="shared" si="24"/>
        <v>SC-279  - Elizabeth Smith-Cornish</v>
      </c>
      <c r="D721" s="115" t="s">
        <v>5237</v>
      </c>
      <c r="E721" s="96" t="s">
        <v>29</v>
      </c>
      <c r="F721" s="97" t="s">
        <v>62</v>
      </c>
      <c r="G721" s="97" t="s">
        <v>931</v>
      </c>
      <c r="H721" s="96"/>
      <c r="I721" s="99" t="s">
        <v>5238</v>
      </c>
      <c r="J721" s="95">
        <v>18</v>
      </c>
      <c r="K721" s="95">
        <v>38</v>
      </c>
      <c r="L721" s="100">
        <v>38.740020000000001</v>
      </c>
      <c r="M721" s="100" t="s">
        <v>5239</v>
      </c>
      <c r="N721" s="101" t="s">
        <v>5240</v>
      </c>
      <c r="O721" s="82" t="s">
        <v>3400</v>
      </c>
      <c r="P721" s="82">
        <v>19933</v>
      </c>
      <c r="R721" s="82" t="s">
        <v>37</v>
      </c>
      <c r="T721" s="82" t="s">
        <v>38</v>
      </c>
      <c r="U721" s="97">
        <v>2019</v>
      </c>
      <c r="V721" s="98">
        <v>43689</v>
      </c>
      <c r="W721" s="97" t="s">
        <v>39</v>
      </c>
      <c r="X721" s="97"/>
      <c r="Y721" s="102" t="s">
        <v>5241</v>
      </c>
      <c r="Z721" s="102" t="s">
        <v>5242</v>
      </c>
    </row>
    <row r="722" spans="1:26" s="82" customFormat="1" ht="45" x14ac:dyDescent="0.25">
      <c r="A722" s="82" t="s">
        <v>5243</v>
      </c>
      <c r="B722" s="82" t="s">
        <v>5244</v>
      </c>
      <c r="C722" s="82" t="str">
        <f t="shared" si="24"/>
        <v>SC-280  - Askekesky (Acksquessance)</v>
      </c>
      <c r="D722" s="96" t="s">
        <v>5245</v>
      </c>
      <c r="E722" s="96" t="s">
        <v>29</v>
      </c>
      <c r="F722" s="97" t="s">
        <v>30</v>
      </c>
      <c r="G722" s="97" t="s">
        <v>5246</v>
      </c>
      <c r="H722" s="96" t="s">
        <v>3842</v>
      </c>
      <c r="I722" s="182" t="s">
        <v>5247</v>
      </c>
      <c r="J722" s="95">
        <v>20</v>
      </c>
      <c r="K722" s="95">
        <v>41</v>
      </c>
      <c r="L722" s="112">
        <v>38.594380000000001</v>
      </c>
      <c r="M722" s="113" t="s">
        <v>5248</v>
      </c>
      <c r="N722" s="101" t="s">
        <v>5249</v>
      </c>
      <c r="O722" s="82" t="s">
        <v>3671</v>
      </c>
      <c r="P722" s="82">
        <v>19966</v>
      </c>
      <c r="Q722" s="82" t="s">
        <v>5250</v>
      </c>
      <c r="R722" s="82" t="s">
        <v>37</v>
      </c>
      <c r="T722" s="82" t="s">
        <v>38</v>
      </c>
      <c r="U722" s="97">
        <v>2019</v>
      </c>
      <c r="V722" s="98">
        <v>43748</v>
      </c>
      <c r="W722" s="97" t="s">
        <v>39</v>
      </c>
      <c r="X722" s="97"/>
      <c r="Y722" s="114" t="s">
        <v>5251</v>
      </c>
      <c r="Z722" s="114" t="s">
        <v>5252</v>
      </c>
    </row>
    <row r="723" spans="1:26" s="82" customFormat="1" ht="51" x14ac:dyDescent="0.25">
      <c r="A723" s="82" t="s">
        <v>5253</v>
      </c>
      <c r="B723" s="82" t="s">
        <v>5254</v>
      </c>
      <c r="C723" s="82" t="str">
        <f t="shared" si="24"/>
        <v>SC-281  - Cape Henlopen Lighthouse Replica</v>
      </c>
      <c r="D723" s="96" t="s">
        <v>5255</v>
      </c>
      <c r="E723" s="96" t="s">
        <v>29</v>
      </c>
      <c r="F723" s="97" t="s">
        <v>30</v>
      </c>
      <c r="G723" s="97"/>
      <c r="H723" s="96" t="s">
        <v>277</v>
      </c>
      <c r="I723" s="160" t="s">
        <v>5206</v>
      </c>
      <c r="J723" s="95">
        <v>6</v>
      </c>
      <c r="K723" s="95">
        <v>14</v>
      </c>
      <c r="L723" s="112">
        <v>38.71508</v>
      </c>
      <c r="M723" s="112">
        <v>-75.091130000000007</v>
      </c>
      <c r="N723" s="101" t="s">
        <v>5256</v>
      </c>
      <c r="O723" s="82" t="s">
        <v>3810</v>
      </c>
      <c r="P723" s="82">
        <v>19971</v>
      </c>
      <c r="R723" s="82" t="s">
        <v>37</v>
      </c>
      <c r="T723" s="82" t="s">
        <v>38</v>
      </c>
      <c r="U723" s="97">
        <v>2019</v>
      </c>
      <c r="V723" s="98">
        <v>43809</v>
      </c>
      <c r="W723" s="97" t="s">
        <v>39</v>
      </c>
      <c r="X723" s="97"/>
      <c r="Y723" s="103" t="s">
        <v>5257</v>
      </c>
      <c r="Z723" s="102" t="s">
        <v>5258</v>
      </c>
    </row>
    <row r="724" spans="1:26" s="82" customFormat="1" ht="45" x14ac:dyDescent="0.25">
      <c r="A724" s="82" t="s">
        <v>5259</v>
      </c>
      <c r="B724" s="82" t="s">
        <v>5260</v>
      </c>
      <c r="C724" s="82" t="str">
        <f t="shared" si="24"/>
        <v>SC-282  - Soroptimist International of Seaford</v>
      </c>
      <c r="D724" s="96" t="s">
        <v>5261</v>
      </c>
      <c r="E724" s="96" t="s">
        <v>29</v>
      </c>
      <c r="F724" s="97" t="s">
        <v>42</v>
      </c>
      <c r="G724" s="97" t="s">
        <v>931</v>
      </c>
      <c r="H724" s="96" t="s">
        <v>49</v>
      </c>
      <c r="I724" s="160" t="s">
        <v>4951</v>
      </c>
      <c r="J724" s="95">
        <v>21</v>
      </c>
      <c r="K724" s="95">
        <v>39</v>
      </c>
      <c r="L724" s="112">
        <v>38.64461</v>
      </c>
      <c r="M724" s="112">
        <v>-75.600769999999997</v>
      </c>
      <c r="N724" s="101" t="s">
        <v>5262</v>
      </c>
      <c r="O724" s="82" t="s">
        <v>3407</v>
      </c>
      <c r="P724" s="82">
        <v>19973</v>
      </c>
      <c r="R724" s="82" t="s">
        <v>37</v>
      </c>
      <c r="T724" s="82" t="s">
        <v>38</v>
      </c>
      <c r="U724" s="97">
        <v>2021</v>
      </c>
      <c r="V724" s="98">
        <v>44333</v>
      </c>
      <c r="W724" s="97" t="s">
        <v>39</v>
      </c>
      <c r="X724" s="97"/>
      <c r="Y724" s="102" t="s">
        <v>5263</v>
      </c>
      <c r="Z724" s="102" t="s">
        <v>5264</v>
      </c>
    </row>
    <row r="725" spans="1:26" s="82" customFormat="1" ht="45" x14ac:dyDescent="0.25">
      <c r="A725" s="82" t="s">
        <v>5265</v>
      </c>
      <c r="B725" s="82" t="s">
        <v>5266</v>
      </c>
      <c r="C725" s="82" t="str">
        <f t="shared" si="24"/>
        <v>SC-283  - Indian Mission School</v>
      </c>
      <c r="D725" s="96" t="s">
        <v>4190</v>
      </c>
      <c r="E725" s="96" t="s">
        <v>29</v>
      </c>
      <c r="F725" s="97" t="s">
        <v>276</v>
      </c>
      <c r="G725" s="97"/>
      <c r="H725" s="96" t="s">
        <v>968</v>
      </c>
      <c r="I725" s="99" t="s">
        <v>5267</v>
      </c>
      <c r="J725" s="95">
        <v>20</v>
      </c>
      <c r="K725" s="95">
        <v>4</v>
      </c>
      <c r="L725" s="112">
        <v>38.606189999999998</v>
      </c>
      <c r="M725" s="112">
        <v>-75.211730000000003</v>
      </c>
      <c r="N725" s="101" t="s">
        <v>5268</v>
      </c>
      <c r="O725" s="82" t="s">
        <v>3671</v>
      </c>
      <c r="P725" s="82">
        <v>19966</v>
      </c>
      <c r="R725" s="82" t="s">
        <v>37</v>
      </c>
      <c r="T725" s="82" t="s">
        <v>38</v>
      </c>
      <c r="U725" s="97">
        <v>2021</v>
      </c>
      <c r="V725" s="98">
        <v>44515</v>
      </c>
      <c r="W725" s="97" t="s">
        <v>39</v>
      </c>
      <c r="X725" s="97"/>
      <c r="Y725" s="102" t="s">
        <v>5269</v>
      </c>
      <c r="Z725" s="102" t="s">
        <v>5270</v>
      </c>
    </row>
    <row r="726" spans="1:26" s="82" customFormat="1" ht="45" x14ac:dyDescent="0.25">
      <c r="A726" s="82" t="s">
        <v>5271</v>
      </c>
      <c r="B726" s="82" t="s">
        <v>5272</v>
      </c>
      <c r="C726" s="82" t="str">
        <f t="shared" si="24"/>
        <v>SC-284  - Women's Suffrage in Delaware</v>
      </c>
      <c r="D726" s="96" t="s">
        <v>5273</v>
      </c>
      <c r="E726" s="96" t="s">
        <v>29</v>
      </c>
      <c r="F726" s="97" t="s">
        <v>42</v>
      </c>
      <c r="G726" s="97" t="s">
        <v>931</v>
      </c>
      <c r="H726" s="96" t="s">
        <v>599</v>
      </c>
      <c r="I726" s="99" t="s">
        <v>1031</v>
      </c>
      <c r="J726" s="95">
        <v>19</v>
      </c>
      <c r="K726" s="95">
        <v>37</v>
      </c>
      <c r="L726" s="112">
        <v>38.690399999999997</v>
      </c>
      <c r="M726" s="112">
        <v>-75.385319999999993</v>
      </c>
      <c r="N726" s="101" t="s">
        <v>5274</v>
      </c>
      <c r="O726" s="101" t="s">
        <v>3471</v>
      </c>
      <c r="P726" s="82">
        <v>19947</v>
      </c>
      <c r="R726" s="82" t="s">
        <v>37</v>
      </c>
      <c r="S726" s="101" t="s">
        <v>1035</v>
      </c>
      <c r="T726" s="82" t="s">
        <v>38</v>
      </c>
      <c r="U726" s="97">
        <v>2021</v>
      </c>
      <c r="V726" s="98">
        <v>44455</v>
      </c>
      <c r="W726" s="121" t="s">
        <v>39</v>
      </c>
      <c r="X726" s="97"/>
      <c r="Y726" s="102" t="s">
        <v>5275</v>
      </c>
      <c r="Z726" s="102" t="s">
        <v>5276</v>
      </c>
    </row>
    <row r="727" spans="1:26" ht="51" x14ac:dyDescent="0.25">
      <c r="A727" s="82" t="s">
        <v>5277</v>
      </c>
      <c r="B727" s="82" t="s">
        <v>5278</v>
      </c>
      <c r="C727" s="82" t="str">
        <f t="shared" si="24"/>
        <v>SC-285  - Surf Safety Line</v>
      </c>
      <c r="D727" s="96" t="s">
        <v>5279</v>
      </c>
      <c r="E727" s="96" t="s">
        <v>29</v>
      </c>
      <c r="F727" s="97" t="s">
        <v>42</v>
      </c>
      <c r="G727" s="97"/>
      <c r="H727" s="96" t="s">
        <v>986</v>
      </c>
      <c r="I727" s="99" t="s">
        <v>5280</v>
      </c>
      <c r="J727" s="95">
        <v>6</v>
      </c>
      <c r="K727" s="95">
        <v>14</v>
      </c>
      <c r="L727" s="112">
        <v>38.716749999999998</v>
      </c>
      <c r="M727" s="112">
        <v>-75.0762</v>
      </c>
      <c r="N727" s="101" t="s">
        <v>5281</v>
      </c>
      <c r="O727" s="82" t="s">
        <v>3940</v>
      </c>
      <c r="P727" s="82">
        <v>19971</v>
      </c>
      <c r="Q727" s="82"/>
      <c r="R727" s="82" t="s">
        <v>3941</v>
      </c>
      <c r="S727" s="82"/>
      <c r="T727" s="82" t="s">
        <v>38</v>
      </c>
      <c r="U727" s="97">
        <v>2022</v>
      </c>
      <c r="V727" s="98">
        <v>44665</v>
      </c>
      <c r="W727" s="97" t="s">
        <v>39</v>
      </c>
      <c r="X727" s="97"/>
      <c r="Y727" s="103" t="s">
        <v>5282</v>
      </c>
      <c r="Z727" s="102" t="s">
        <v>5283</v>
      </c>
    </row>
    <row r="728" spans="1:26" s="241" customFormat="1" ht="45" x14ac:dyDescent="0.25">
      <c r="A728" s="241" t="s">
        <v>5284</v>
      </c>
      <c r="B728" s="241" t="s">
        <v>5285</v>
      </c>
      <c r="C728" s="241" t="str">
        <f t="shared" si="24"/>
        <v>SC-286  - Rehoboth Beach Patrol</v>
      </c>
      <c r="D728" s="242" t="s">
        <v>5286</v>
      </c>
      <c r="E728" s="243" t="s">
        <v>29</v>
      </c>
      <c r="F728" s="244" t="s">
        <v>42</v>
      </c>
      <c r="G728" s="244"/>
      <c r="H728" s="243"/>
      <c r="I728" s="245" t="s">
        <v>4538</v>
      </c>
      <c r="J728" s="246">
        <v>6</v>
      </c>
      <c r="K728" s="246">
        <v>14</v>
      </c>
      <c r="L728" s="247" t="s">
        <v>5287</v>
      </c>
      <c r="M728" s="247" t="s">
        <v>5288</v>
      </c>
      <c r="N728" s="248" t="s">
        <v>5289</v>
      </c>
      <c r="O728" s="249" t="s">
        <v>3810</v>
      </c>
      <c r="P728" s="249">
        <v>19971</v>
      </c>
      <c r="Q728" s="249"/>
      <c r="R728" s="249" t="s">
        <v>37</v>
      </c>
      <c r="S728" s="249" t="s">
        <v>5290</v>
      </c>
      <c r="T728" s="249" t="s">
        <v>38</v>
      </c>
      <c r="U728" s="244">
        <v>2025</v>
      </c>
      <c r="V728" s="250">
        <v>45874</v>
      </c>
      <c r="W728" s="244" t="s">
        <v>39</v>
      </c>
      <c r="X728" s="244"/>
      <c r="Y728" s="251"/>
      <c r="Z728" s="251"/>
    </row>
    <row r="729" spans="1:26" s="82" customFormat="1" ht="45" x14ac:dyDescent="0.25">
      <c r="A729" s="82" t="s">
        <v>5291</v>
      </c>
      <c r="B729" s="82" t="s">
        <v>5292</v>
      </c>
      <c r="C729" s="82" t="str">
        <f t="shared" ref="C729:C742" si="25">A729 &amp; " - " &amp; B729</f>
        <v>SC-287  - Jason Beach</v>
      </c>
      <c r="D729" s="96" t="s">
        <v>5293</v>
      </c>
      <c r="E729" s="96" t="s">
        <v>29</v>
      </c>
      <c r="F729" s="97" t="s">
        <v>30</v>
      </c>
      <c r="G729" s="97" t="s">
        <v>293</v>
      </c>
      <c r="H729" s="96"/>
      <c r="I729" s="99" t="s">
        <v>4358</v>
      </c>
      <c r="J729" s="95">
        <v>21</v>
      </c>
      <c r="K729" s="95">
        <v>40</v>
      </c>
      <c r="L729" s="100" t="s">
        <v>5294</v>
      </c>
      <c r="M729" s="100" t="s">
        <v>5295</v>
      </c>
      <c r="N729" s="101" t="s">
        <v>5296</v>
      </c>
      <c r="O729" s="82" t="s">
        <v>3428</v>
      </c>
      <c r="P729" s="82">
        <v>19956</v>
      </c>
      <c r="R729" s="82" t="s">
        <v>37</v>
      </c>
      <c r="T729" s="82" t="s">
        <v>38</v>
      </c>
      <c r="U729" s="97">
        <v>2022</v>
      </c>
      <c r="V729" s="98">
        <v>44732</v>
      </c>
      <c r="W729" s="97" t="s">
        <v>39</v>
      </c>
      <c r="X729" s="97"/>
      <c r="Y729" s="102" t="s">
        <v>5297</v>
      </c>
      <c r="Z729" s="102" t="s">
        <v>5298</v>
      </c>
    </row>
    <row r="730" spans="1:26" s="82" customFormat="1" ht="45" x14ac:dyDescent="0.25">
      <c r="A730" s="82" t="s">
        <v>5299</v>
      </c>
      <c r="B730" s="82" t="s">
        <v>5300</v>
      </c>
      <c r="C730" s="82" t="str">
        <f t="shared" si="25"/>
        <v>SC-288  - Block House Pond</v>
      </c>
      <c r="D730" s="96" t="s">
        <v>5301</v>
      </c>
      <c r="E730" s="96" t="s">
        <v>29</v>
      </c>
      <c r="F730" s="97" t="s">
        <v>30</v>
      </c>
      <c r="G730" s="97"/>
      <c r="H730" s="96"/>
      <c r="I730" s="99" t="s">
        <v>5302</v>
      </c>
      <c r="J730" s="95">
        <v>6</v>
      </c>
      <c r="K730" s="95">
        <v>20</v>
      </c>
      <c r="L730" s="113" t="s">
        <v>5303</v>
      </c>
      <c r="M730" s="112">
        <v>-75.146640000000005</v>
      </c>
      <c r="N730" s="101" t="s">
        <v>5304</v>
      </c>
      <c r="O730" s="82" t="s">
        <v>3548</v>
      </c>
      <c r="P730" s="82">
        <v>19958</v>
      </c>
      <c r="R730" s="82" t="s">
        <v>37</v>
      </c>
      <c r="T730" s="82" t="s">
        <v>38</v>
      </c>
      <c r="U730" s="97">
        <v>2021</v>
      </c>
      <c r="V730" s="98">
        <v>44489</v>
      </c>
      <c r="W730" s="97" t="s">
        <v>39</v>
      </c>
      <c r="X730" s="97"/>
      <c r="Y730" s="114" t="s">
        <v>5305</v>
      </c>
      <c r="Z730" s="102" t="s">
        <v>5306</v>
      </c>
    </row>
    <row r="731" spans="1:26" s="7" customFormat="1" ht="28.5" x14ac:dyDescent="0.25">
      <c r="A731" s="7" t="s">
        <v>5307</v>
      </c>
      <c r="B731" s="7" t="s">
        <v>5308</v>
      </c>
      <c r="C731" s="7" t="s">
        <v>5309</v>
      </c>
      <c r="D731" s="23"/>
      <c r="E731" s="23" t="s">
        <v>1070</v>
      </c>
      <c r="F731" s="12"/>
      <c r="G731" s="54"/>
      <c r="H731" s="23"/>
      <c r="I731" s="55" t="s">
        <v>4538</v>
      </c>
      <c r="J731" s="25"/>
      <c r="K731" s="25"/>
      <c r="L731" s="78"/>
      <c r="M731" s="78"/>
      <c r="N731" s="79"/>
      <c r="O731" s="6"/>
      <c r="P731" s="6"/>
      <c r="R731" s="6"/>
      <c r="S731" s="6"/>
      <c r="T731" s="6"/>
      <c r="U731" s="12"/>
      <c r="V731" s="12"/>
      <c r="W731" s="12"/>
      <c r="X731" s="12"/>
      <c r="Y731" s="252"/>
      <c r="Z731" s="80"/>
    </row>
    <row r="732" spans="1:26" s="82" customFormat="1" ht="51" x14ac:dyDescent="0.25">
      <c r="A732" s="82" t="s">
        <v>5310</v>
      </c>
      <c r="B732" s="82" t="s">
        <v>5311</v>
      </c>
      <c r="C732" s="82" t="str">
        <f t="shared" si="25"/>
        <v>SC-A1  - Ryves Holt House</v>
      </c>
      <c r="D732" s="96" t="s">
        <v>4303</v>
      </c>
      <c r="E732" s="96" t="s">
        <v>29</v>
      </c>
      <c r="F732" s="97" t="s">
        <v>30</v>
      </c>
      <c r="G732" s="97"/>
      <c r="H732" s="96"/>
      <c r="I732" s="99" t="s">
        <v>1124</v>
      </c>
      <c r="J732" s="95">
        <v>6</v>
      </c>
      <c r="K732" s="95">
        <v>20</v>
      </c>
      <c r="L732" s="100" t="s">
        <v>3561</v>
      </c>
      <c r="M732" s="100" t="s">
        <v>5312</v>
      </c>
      <c r="N732" s="101" t="s">
        <v>5313</v>
      </c>
      <c r="O732" s="82" t="s">
        <v>3548</v>
      </c>
      <c r="P732" s="82">
        <v>19958</v>
      </c>
      <c r="R732" s="82" t="s">
        <v>37</v>
      </c>
      <c r="T732" s="82" t="s">
        <v>1092</v>
      </c>
      <c r="U732" s="97">
        <v>1932</v>
      </c>
      <c r="V732" s="97"/>
      <c r="W732" s="97"/>
      <c r="X732" s="97"/>
      <c r="Y732" s="102"/>
      <c r="Z732" s="102"/>
    </row>
    <row r="733" spans="1:26" s="82" customFormat="1" ht="51" x14ac:dyDescent="0.25">
      <c r="A733" s="82" t="s">
        <v>5314</v>
      </c>
      <c r="B733" s="82" t="s">
        <v>5315</v>
      </c>
      <c r="C733" s="82" t="str">
        <f t="shared" si="25"/>
        <v>SC-A2  - Old Court House</v>
      </c>
      <c r="D733" s="96" t="s">
        <v>5316</v>
      </c>
      <c r="E733" s="96" t="s">
        <v>29</v>
      </c>
      <c r="F733" s="97" t="s">
        <v>30</v>
      </c>
      <c r="G733" s="97"/>
      <c r="H733" s="96"/>
      <c r="I733" s="99" t="s">
        <v>1124</v>
      </c>
      <c r="J733" s="95">
        <v>6</v>
      </c>
      <c r="K733" s="95">
        <v>20</v>
      </c>
      <c r="L733" s="100" t="s">
        <v>5317</v>
      </c>
      <c r="M733" s="100" t="s">
        <v>5318</v>
      </c>
      <c r="N733" s="101" t="s">
        <v>5319</v>
      </c>
      <c r="O733" s="82" t="s">
        <v>3548</v>
      </c>
      <c r="P733" s="82">
        <v>19958</v>
      </c>
      <c r="R733" s="82" t="s">
        <v>37</v>
      </c>
      <c r="T733" s="82" t="s">
        <v>1092</v>
      </c>
      <c r="U733" s="97">
        <v>1932</v>
      </c>
      <c r="V733" s="97"/>
      <c r="W733" s="97"/>
      <c r="X733" s="97"/>
      <c r="Y733" s="102"/>
      <c r="Z733" s="102"/>
    </row>
    <row r="734" spans="1:26" s="82" customFormat="1" x14ac:dyDescent="0.25">
      <c r="A734" s="7"/>
      <c r="B734" s="7" t="s">
        <v>5320</v>
      </c>
      <c r="C734" s="7" t="str">
        <f t="shared" si="25"/>
        <v xml:space="preserve"> - Wheelers Park</v>
      </c>
      <c r="D734" s="21"/>
      <c r="E734" s="21" t="s">
        <v>1070</v>
      </c>
      <c r="F734" s="8" t="s">
        <v>42</v>
      </c>
      <c r="G734" s="8"/>
      <c r="H734" s="21"/>
      <c r="I734" s="29"/>
      <c r="J734" s="18"/>
      <c r="K734" s="18"/>
      <c r="L734" s="27"/>
      <c r="M734" s="27"/>
      <c r="N734" s="5"/>
      <c r="O734" s="3"/>
      <c r="P734" s="3"/>
      <c r="Q734" s="3"/>
      <c r="R734" s="3" t="s">
        <v>37</v>
      </c>
      <c r="S734" s="3"/>
      <c r="T734" s="3"/>
      <c r="U734" s="8"/>
      <c r="V734" s="8"/>
      <c r="W734" s="8"/>
      <c r="X734" s="8"/>
      <c r="Y734" s="4"/>
      <c r="Z734" s="4"/>
    </row>
    <row r="735" spans="1:26" s="82" customFormat="1" ht="30" x14ac:dyDescent="0.25">
      <c r="A735" s="7"/>
      <c r="B735" s="7" t="s">
        <v>5321</v>
      </c>
      <c r="C735" s="7" t="str">
        <f t="shared" si="25"/>
        <v xml:space="preserve"> - Enslaved Africans Arrive at New Amstel</v>
      </c>
      <c r="D735" s="21"/>
      <c r="E735" s="21" t="s">
        <v>1070</v>
      </c>
      <c r="F735" s="8" t="s">
        <v>42</v>
      </c>
      <c r="G735" s="8"/>
      <c r="H735" s="21"/>
      <c r="I735" s="29"/>
      <c r="J735" s="18"/>
      <c r="K735" s="18"/>
      <c r="L735" s="27"/>
      <c r="M735" s="27"/>
      <c r="N735" s="93"/>
      <c r="O735" s="3"/>
      <c r="P735" s="3"/>
      <c r="Q735" s="3"/>
      <c r="R735" s="3" t="s">
        <v>37</v>
      </c>
      <c r="S735" s="3" t="s">
        <v>1070</v>
      </c>
      <c r="T735" s="3" t="s">
        <v>38</v>
      </c>
      <c r="U735" s="8"/>
      <c r="V735" s="8"/>
      <c r="W735" s="8" t="s">
        <v>39</v>
      </c>
      <c r="X735" s="8"/>
      <c r="Y735" s="4"/>
      <c r="Z735" s="4"/>
    </row>
    <row r="736" spans="1:26" s="82" customFormat="1" x14ac:dyDescent="0.25">
      <c r="A736" s="7"/>
      <c r="B736" s="7" t="s">
        <v>5322</v>
      </c>
      <c r="C736" s="7" t="str">
        <f t="shared" si="25"/>
        <v xml:space="preserve"> - Ogletown</v>
      </c>
      <c r="D736" s="21"/>
      <c r="E736" s="21" t="s">
        <v>1070</v>
      </c>
      <c r="F736" s="8"/>
      <c r="G736" s="8"/>
      <c r="H736" s="21"/>
      <c r="I736" s="29"/>
      <c r="J736" s="18"/>
      <c r="K736" s="18"/>
      <c r="L736" s="27"/>
      <c r="M736" s="27"/>
      <c r="N736" s="5"/>
      <c r="O736" s="3"/>
      <c r="P736" s="3"/>
      <c r="Q736" s="3"/>
      <c r="R736" s="3" t="s">
        <v>37</v>
      </c>
      <c r="S736" s="3"/>
      <c r="T736" s="3"/>
      <c r="U736" s="8"/>
      <c r="V736" s="8"/>
      <c r="W736" s="8"/>
      <c r="X736" s="8"/>
      <c r="Y736" s="4"/>
      <c r="Z736" s="4"/>
    </row>
    <row r="737" spans="1:26" s="82" customFormat="1" ht="30" x14ac:dyDescent="0.25">
      <c r="A737" s="7"/>
      <c r="B737" s="7" t="s">
        <v>5323</v>
      </c>
      <c r="C737" s="7" t="str">
        <f t="shared" si="25"/>
        <v xml:space="preserve"> - Escaping Slavery on the C &amp; D Canal</v>
      </c>
      <c r="D737" s="21"/>
      <c r="E737" s="21" t="s">
        <v>1070</v>
      </c>
      <c r="F737" s="8"/>
      <c r="G737" s="8"/>
      <c r="H737" s="21"/>
      <c r="I737" s="29"/>
      <c r="J737" s="18"/>
      <c r="K737" s="18"/>
      <c r="L737" s="27"/>
      <c r="M737" s="27"/>
      <c r="N737" s="5"/>
      <c r="O737" s="3"/>
      <c r="P737" s="3"/>
      <c r="Q737" s="3"/>
      <c r="R737" s="3" t="s">
        <v>37</v>
      </c>
      <c r="S737" s="3"/>
      <c r="T737" s="3"/>
      <c r="U737" s="8"/>
      <c r="V737" s="8"/>
      <c r="W737" s="8"/>
      <c r="X737" s="8"/>
      <c r="Y737" s="4"/>
      <c r="Z737" s="4"/>
    </row>
    <row r="738" spans="1:26" s="13" customFormat="1" ht="30" x14ac:dyDescent="0.25">
      <c r="A738" s="7"/>
      <c r="B738" s="7" t="s">
        <v>5324</v>
      </c>
      <c r="C738" s="7" t="str">
        <f t="shared" si="25"/>
        <v xml:space="preserve"> - Zion Church (Wilmington)</v>
      </c>
      <c r="D738" s="21"/>
      <c r="E738" s="21" t="s">
        <v>1070</v>
      </c>
      <c r="F738" s="8"/>
      <c r="G738" s="8"/>
      <c r="H738" s="21"/>
      <c r="I738" s="29"/>
      <c r="J738" s="18"/>
      <c r="K738" s="18"/>
      <c r="L738" s="27"/>
      <c r="M738" s="27"/>
      <c r="N738" s="5"/>
      <c r="O738" s="3"/>
      <c r="P738" s="3"/>
      <c r="Q738" s="3"/>
      <c r="R738" s="3" t="s">
        <v>37</v>
      </c>
      <c r="S738" s="3"/>
      <c r="T738" s="3"/>
      <c r="U738" s="8"/>
      <c r="V738" s="8"/>
      <c r="W738" s="8"/>
      <c r="X738" s="8"/>
      <c r="Y738" s="4"/>
      <c r="Z738" s="4"/>
    </row>
    <row r="739" spans="1:26" s="82" customFormat="1" x14ac:dyDescent="0.25">
      <c r="A739" s="7"/>
      <c r="B739" s="7" t="s">
        <v>5325</v>
      </c>
      <c r="C739" s="7" t="str">
        <f t="shared" si="25"/>
        <v xml:space="preserve"> - Nicholas Fidance</v>
      </c>
      <c r="D739" s="21"/>
      <c r="E739" s="21" t="s">
        <v>1070</v>
      </c>
      <c r="F739" s="8"/>
      <c r="G739" s="8"/>
      <c r="H739" s="21"/>
      <c r="I739" s="29"/>
      <c r="J739" s="18"/>
      <c r="K739" s="18"/>
      <c r="L739" s="27"/>
      <c r="M739" s="27"/>
      <c r="N739" s="5"/>
      <c r="O739" s="3"/>
      <c r="P739" s="3"/>
      <c r="Q739" s="3"/>
      <c r="R739" s="3" t="s">
        <v>37</v>
      </c>
      <c r="S739" s="3"/>
      <c r="T739" s="3"/>
      <c r="U739" s="8"/>
      <c r="V739" s="8"/>
      <c r="W739" s="8"/>
      <c r="X739" s="8"/>
      <c r="Y739" s="4"/>
      <c r="Z739" s="4"/>
    </row>
    <row r="740" spans="1:26" s="82" customFormat="1" x14ac:dyDescent="0.25">
      <c r="A740" s="7"/>
      <c r="B740" s="7" t="s">
        <v>5326</v>
      </c>
      <c r="C740" s="7" t="str">
        <f t="shared" si="25"/>
        <v xml:space="preserve"> - Ardencroft</v>
      </c>
      <c r="D740" s="21"/>
      <c r="E740" s="21" t="s">
        <v>1070</v>
      </c>
      <c r="F740" s="8"/>
      <c r="G740" s="8"/>
      <c r="H740" s="21"/>
      <c r="I740" s="29"/>
      <c r="J740" s="18"/>
      <c r="K740" s="18"/>
      <c r="L740" s="27"/>
      <c r="M740" s="27"/>
      <c r="N740" s="5"/>
      <c r="O740" s="3"/>
      <c r="P740" s="3"/>
      <c r="Q740" s="3"/>
      <c r="R740" s="3" t="s">
        <v>37</v>
      </c>
      <c r="S740" s="3"/>
      <c r="T740" s="3"/>
      <c r="U740" s="8"/>
      <c r="V740" s="8"/>
      <c r="W740" s="8"/>
      <c r="X740" s="8"/>
      <c r="Y740" s="4"/>
      <c r="Z740" s="4"/>
    </row>
    <row r="741" spans="1:26" s="82" customFormat="1" ht="30" x14ac:dyDescent="0.25">
      <c r="A741" s="7"/>
      <c r="B741" s="7" t="s">
        <v>5327</v>
      </c>
      <c r="C741" s="7" t="str">
        <f t="shared" si="25"/>
        <v xml:space="preserve"> - Mason - Dixon Stone Marker #79</v>
      </c>
      <c r="D741" s="21"/>
      <c r="E741" s="21" t="s">
        <v>1070</v>
      </c>
      <c r="F741" s="8"/>
      <c r="G741" s="8"/>
      <c r="H741" s="21"/>
      <c r="I741" s="29"/>
      <c r="J741" s="18"/>
      <c r="K741" s="18"/>
      <c r="L741" s="27"/>
      <c r="M741" s="27"/>
      <c r="N741" s="5"/>
      <c r="O741" s="3"/>
      <c r="P741" s="3"/>
      <c r="Q741" s="3"/>
      <c r="R741" s="3" t="s">
        <v>37</v>
      </c>
      <c r="S741" s="3" t="s">
        <v>1070</v>
      </c>
      <c r="T741" s="3" t="s">
        <v>38</v>
      </c>
      <c r="U741" s="8"/>
      <c r="V741" s="8"/>
      <c r="W741" s="8"/>
      <c r="X741" s="8"/>
      <c r="Y741" s="4"/>
      <c r="Z741" s="4"/>
    </row>
    <row r="742" spans="1:26" s="181" customFormat="1" x14ac:dyDescent="0.25">
      <c r="A742" s="7"/>
      <c r="B742" s="7" t="s">
        <v>5328</v>
      </c>
      <c r="C742" s="7" t="str">
        <f t="shared" si="25"/>
        <v xml:space="preserve"> - Fort Delaware</v>
      </c>
      <c r="D742" s="21"/>
      <c r="E742" s="21" t="s">
        <v>1070</v>
      </c>
      <c r="F742" s="8"/>
      <c r="G742" s="8"/>
      <c r="H742" s="21"/>
      <c r="I742" s="29"/>
      <c r="J742" s="18"/>
      <c r="K742" s="18"/>
      <c r="L742" s="27"/>
      <c r="M742" s="27"/>
      <c r="N742" s="5"/>
      <c r="O742" s="3"/>
      <c r="P742" s="3"/>
      <c r="Q742" s="3"/>
      <c r="R742" s="3" t="s">
        <v>37</v>
      </c>
      <c r="S742" s="3"/>
      <c r="T742" s="3"/>
      <c r="U742" s="8"/>
      <c r="V742" s="8"/>
      <c r="W742" s="8"/>
      <c r="X742" s="8"/>
      <c r="Y742" s="4"/>
      <c r="Z742" s="4"/>
    </row>
    <row r="743" spans="1:26" ht="30" x14ac:dyDescent="0.25">
      <c r="A743" s="59"/>
      <c r="B743" s="59" t="s">
        <v>5329</v>
      </c>
      <c r="C743" s="59" t="str">
        <f t="shared" ref="C743:C744" si="26">A743 &amp; " - " &amp; B743</f>
        <v xml:space="preserve"> - Williamsville Colored School</v>
      </c>
      <c r="D743" s="69"/>
      <c r="E743" s="60" t="s">
        <v>1070</v>
      </c>
      <c r="F743" s="61"/>
      <c r="G743" s="61"/>
      <c r="H743" s="69"/>
      <c r="I743" s="71"/>
      <c r="J743" s="70"/>
      <c r="K743" s="70"/>
      <c r="L743" s="72"/>
      <c r="M743" s="72"/>
      <c r="N743" s="73"/>
      <c r="O743" s="63"/>
      <c r="P743" s="63"/>
      <c r="Q743" s="63"/>
      <c r="R743" s="63"/>
      <c r="S743" s="63"/>
      <c r="T743" s="63" t="s">
        <v>5330</v>
      </c>
      <c r="U743" s="61">
        <v>2004</v>
      </c>
      <c r="V743" s="61">
        <v>2004</v>
      </c>
      <c r="W743" s="74" t="s">
        <v>593</v>
      </c>
      <c r="X743" s="61"/>
      <c r="Y743" s="62"/>
      <c r="Z743" s="62"/>
    </row>
    <row r="744" spans="1:26" x14ac:dyDescent="0.25">
      <c r="A744" s="59"/>
      <c r="B744" s="59" t="s">
        <v>5331</v>
      </c>
      <c r="C744" s="59" t="str">
        <f t="shared" si="26"/>
        <v xml:space="preserve"> - Peter Lewis</v>
      </c>
      <c r="D744" s="60"/>
      <c r="E744" s="60" t="s">
        <v>1070</v>
      </c>
      <c r="F744" s="64"/>
      <c r="G744" s="64"/>
      <c r="H744" s="118"/>
      <c r="I744" s="75"/>
      <c r="J744" s="76"/>
      <c r="K744" s="76"/>
      <c r="L744" s="66"/>
      <c r="M744" s="66"/>
      <c r="N744" s="67"/>
      <c r="O744" s="65"/>
      <c r="P744" s="65"/>
      <c r="Q744" s="65"/>
      <c r="R744" s="65"/>
      <c r="S744" s="65"/>
      <c r="T744" s="65"/>
      <c r="U744" s="64"/>
      <c r="V744" s="64"/>
      <c r="W744" s="64"/>
      <c r="X744" s="64"/>
      <c r="Y744" s="62"/>
      <c r="Z744" s="62"/>
    </row>
  </sheetData>
  <sortState xmlns:xlrd2="http://schemas.microsoft.com/office/spreadsheetml/2017/richdata2" ref="A4:Y1048575">
    <sortCondition ref="A4:A1048575"/>
  </sortState>
  <phoneticPr fontId="1" type="noConversion"/>
  <hyperlinks>
    <hyperlink ref="Y632" r:id="rId1" xr:uid="{E4FB8A78-2CDF-4C27-8D24-0D7C8DF5E18C}"/>
    <hyperlink ref="Z632" r:id="rId2" xr:uid="{50BD23D9-BC59-4E2E-9D38-325F102E84CF}"/>
    <hyperlink ref="Y120" r:id="rId3" xr:uid="{7CF0A42B-F1F5-44F2-9D7C-723CE6A7F6C0}"/>
    <hyperlink ref="Z120" r:id="rId4" xr:uid="{3337072F-B839-411C-8797-75E2EFAC62A7}"/>
    <hyperlink ref="Y266" r:id="rId5" xr:uid="{550EC989-08D7-4E32-92F1-95C0D377B970}"/>
    <hyperlink ref="Z266" r:id="rId6" xr:uid="{095F7B7F-8675-44EC-8F3A-D85F454C3B89}"/>
    <hyperlink ref="Y406" r:id="rId7" xr:uid="{88D036D6-78E4-4403-8875-57B3DDD70036}"/>
    <hyperlink ref="Y697" r:id="rId8" xr:uid="{303FDD34-7B9E-4673-8453-42888C21ADCF}"/>
    <hyperlink ref="Y288" r:id="rId9" xr:uid="{F82FFB0F-DE4B-44B8-89FD-51D27A1A8E32}"/>
    <hyperlink ref="Y111" r:id="rId10" xr:uid="{4E598B71-1ED8-48FB-A2FE-08053B506BFD}"/>
    <hyperlink ref="Y630" r:id="rId11" xr:uid="{30AA857A-9E10-45E5-BD20-74A6655E9F3B}"/>
    <hyperlink ref="Y342" r:id="rId12" xr:uid="{F3B20872-76B7-4516-8BD6-0770A0488DB7}"/>
    <hyperlink ref="Z342" r:id="rId13" xr:uid="{92241DE0-B4CC-439F-919D-C484B758AA72}"/>
    <hyperlink ref="Y533" r:id="rId14" xr:uid="{170726B6-88A5-4258-A537-C063921A7A1E}"/>
    <hyperlink ref="Y76" r:id="rId15" xr:uid="{1DF5D3C6-CC58-4612-9992-1C428191DB75}"/>
    <hyperlink ref="Z76" r:id="rId16" xr:uid="{CF5DA2BC-2808-48E6-B60F-87F771753E20}"/>
    <hyperlink ref="Y95" r:id="rId17" xr:uid="{3063AB2D-9113-4213-9ED0-5FFFCA0EEC38}"/>
    <hyperlink ref="Z95" r:id="rId18" xr:uid="{FC54ED30-9A68-4C00-B858-6EB129FDFF26}"/>
    <hyperlink ref="Y32" r:id="rId19" xr:uid="{A0274BDC-228F-44E5-AF2E-224DF13CB7AF}"/>
    <hyperlink ref="Z32" r:id="rId20" xr:uid="{28F87BCA-F372-45E8-9BE8-E5C13E4E6FCF}"/>
    <hyperlink ref="Y162" r:id="rId21" xr:uid="{7EC1CF5A-DDEA-456B-B483-E216D9949D9A}"/>
    <hyperlink ref="Z162" r:id="rId22" xr:uid="{6FE6F2FC-773A-4042-8806-050E937F58B6}"/>
    <hyperlink ref="Y408" r:id="rId23" xr:uid="{B19BE6E5-662D-4086-8609-5D2F05603979}"/>
    <hyperlink ref="Z408" r:id="rId24" xr:uid="{1049394B-387E-4558-A724-ED3817BD960D}"/>
    <hyperlink ref="Y722" r:id="rId25" xr:uid="{84802D0C-04A1-4B43-B4A8-8A8682037658}"/>
    <hyperlink ref="Z722" r:id="rId26" xr:uid="{1C65F260-666A-41E2-A377-3583F1829E01}"/>
    <hyperlink ref="Y608" r:id="rId27" xr:uid="{EB09A323-C63A-43A3-AC3E-822D6CBA6A68}"/>
    <hyperlink ref="Z608" r:id="rId28" xr:uid="{5F205563-245F-4142-8A71-F6526574B2E7}"/>
    <hyperlink ref="Y691" r:id="rId29" xr:uid="{E18E3DAA-29EB-4E02-AAB8-39CCDD1BE44F}"/>
    <hyperlink ref="Z691" r:id="rId30" xr:uid="{19A18C8A-895F-4CA7-AD7A-F84138048D0F}"/>
    <hyperlink ref="Y498" r:id="rId31" xr:uid="{41553868-0C4A-46CE-B1A6-9B071C81F62C}"/>
    <hyperlink ref="Z498" r:id="rId32" xr:uid="{0F141FA9-A127-4482-A400-45B3BF907D30}"/>
    <hyperlink ref="Y385" r:id="rId33" xr:uid="{D1CE97F6-B439-4E53-805C-9A1F312C8926}"/>
    <hyperlink ref="Z385" r:id="rId34" xr:uid="{527A03C3-9B26-476E-9012-CD8045BD08B0}"/>
    <hyperlink ref="Y414" r:id="rId35" xr:uid="{DCC2C915-383D-426C-B543-40F1754E8D06}"/>
    <hyperlink ref="Z414" r:id="rId36" xr:uid="{67E5E5F7-5479-4797-8038-2B499495455C}"/>
    <hyperlink ref="Y69" r:id="rId37" xr:uid="{E41C5F82-C311-41D1-81E3-0369C0C553A8}"/>
    <hyperlink ref="Z69" r:id="rId38" xr:uid="{D0FA5A23-6296-457D-9C6B-FBFAAC33CF6D}"/>
    <hyperlink ref="Y65" r:id="rId39" xr:uid="{1FC9A2D9-1EA3-4BAD-84FF-34B1FF93EAAE}"/>
    <hyperlink ref="Z65" r:id="rId40" xr:uid="{72B0613B-C5C2-41C1-88F7-7F54238FE179}"/>
    <hyperlink ref="Y644" r:id="rId41" xr:uid="{9CDD34A7-B153-4AC6-BE87-15F45415C9FC}"/>
    <hyperlink ref="Z644" r:id="rId42" xr:uid="{1CE144D5-72E4-472A-B629-A3D55DA256EE}"/>
    <hyperlink ref="Y556" r:id="rId43" xr:uid="{D1886C26-5D0A-4071-8F6A-B5DEE77B4B7A}"/>
    <hyperlink ref="Z556" r:id="rId44" xr:uid="{17B9844E-B031-4ADA-B46D-D215FF88FA9C}"/>
    <hyperlink ref="Y504" r:id="rId45" xr:uid="{3EAEA45B-2CBF-46FC-9329-4701A91DCDF4}"/>
    <hyperlink ref="Z504" r:id="rId46" xr:uid="{64AAA154-CCB6-48E0-94E6-3C246D74A65C}"/>
    <hyperlink ref="Y381" r:id="rId47" xr:uid="{0EF64DF9-BB56-49C1-A9B3-EA257FF604E3}"/>
    <hyperlink ref="Z381" r:id="rId48" xr:uid="{CBD169B7-61F1-4A78-8203-F3810CEFEE1B}"/>
    <hyperlink ref="Y409" r:id="rId49" xr:uid="{7065DC0C-C462-4F76-A8E1-9D1ADCF5D075}"/>
    <hyperlink ref="Z409" r:id="rId50" xr:uid="{6062FA54-C820-403E-8887-4FF47BFFA9A5}"/>
    <hyperlink ref="Z288" r:id="rId51" xr:uid="{997F9B25-6B62-4FD6-904F-FE60023BD1CE}"/>
    <hyperlink ref="Z406" r:id="rId52" xr:uid="{16803950-0BC2-492B-857F-595420BCA1F6}"/>
    <hyperlink ref="Z533" r:id="rId53" xr:uid="{90685E92-AB07-4597-B11B-43631793A1FE}"/>
    <hyperlink ref="Z630" r:id="rId54" xr:uid="{97CDC455-507E-45F8-9838-789543A35889}"/>
    <hyperlink ref="Z697" r:id="rId55" xr:uid="{FFD1791E-1F6A-4146-BB8F-FE1FC98E8C69}"/>
    <hyperlink ref="Y81" r:id="rId56" xr:uid="{04249BB3-355A-4D65-9106-88426D7540B3}"/>
    <hyperlink ref="Z81" r:id="rId57" xr:uid="{9099944D-AA0C-4C60-B7AA-40C9630EDB9E}"/>
    <hyperlink ref="Z111" r:id="rId58" xr:uid="{7AEB5D35-9458-4747-A140-BE20D2946466}"/>
    <hyperlink ref="Z114" r:id="rId59" xr:uid="{ACB0F34C-94AE-4739-BFA1-341E5A414722}"/>
    <hyperlink ref="Y46" r:id="rId60" xr:uid="{41DC73B3-531A-4EC1-91F5-68844320FB1A}"/>
    <hyperlink ref="Y669" r:id="rId61" xr:uid="{B3133EB0-754A-417A-8906-B7770E00D82B}"/>
    <hyperlink ref="Y716" r:id="rId62" xr:uid="{5E9B2C48-5F3E-4820-9215-11A221816A68}"/>
    <hyperlink ref="Y547" r:id="rId63" xr:uid="{3F90A1E9-3E2E-4F6A-9A20-6B076FE77A58}"/>
    <hyperlink ref="Y358" r:id="rId64" xr:uid="{E1AE5E57-D969-4DFF-B328-22F07D63D900}"/>
    <hyperlink ref="Y72" r:id="rId65" xr:uid="{0D808E5C-5D69-4E17-B24C-1C237A2E4796}"/>
    <hyperlink ref="Y689" r:id="rId66" xr:uid="{0A9CD2FC-E471-41A8-9B71-4AE372977224}"/>
    <hyperlink ref="Z281" r:id="rId67" xr:uid="{B79D2583-D960-481E-B275-658A58A038D5}"/>
    <hyperlink ref="Z367" r:id="rId68" xr:uid="{537DB319-A571-4543-A71D-047F73A68CB6}"/>
    <hyperlink ref="Z391" r:id="rId69" xr:uid="{D73F7612-7BE3-4095-B9B7-2743E0E8C73B}"/>
    <hyperlink ref="Y642" r:id="rId70" xr:uid="{1171E69B-D0DE-46CA-BB75-7232665BF77D}"/>
    <hyperlink ref="Y662" r:id="rId71" xr:uid="{BFC371B0-38F2-4DE1-AA8F-25D79DA1BC31}"/>
    <hyperlink ref="Y532" r:id="rId72" xr:uid="{7336FC94-FACC-480E-9EA7-7F71F2C73152}"/>
    <hyperlink ref="Y730" r:id="rId73" xr:uid="{63FE1F0A-178A-4F6D-B004-DD33BDBD07CB}"/>
    <hyperlink ref="Y500" r:id="rId74" xr:uid="{E34954E0-4F47-4E8B-8B4A-D1EB553B2FC7}"/>
    <hyperlink ref="Y709" r:id="rId75" xr:uid="{953251E5-F9D3-45DF-A048-F0B2623F33A3}"/>
    <hyperlink ref="Y62" r:id="rId76" xr:uid="{3858A449-2027-4696-9DB5-1D6A118FD541}"/>
    <hyperlink ref="Y105" r:id="rId77" xr:uid="{F046B1BA-7064-43F3-B224-04C0CDFFAA7C}"/>
    <hyperlink ref="Z110" r:id="rId78" xr:uid="{F4208660-A112-4B52-A4A6-0CF0E6C7B1EA}"/>
    <hyperlink ref="Y303" r:id="rId79" xr:uid="{B11793D5-2B0A-440A-A40C-5641B7ED27A0}"/>
    <hyperlink ref="Y383" r:id="rId80" xr:uid="{00A5EDF5-9518-4712-AAEB-80C73BDADDE2}"/>
    <hyperlink ref="Y522" r:id="rId81" xr:uid="{AC67319D-82B7-400B-B895-F3EFF013F3B5}"/>
    <hyperlink ref="Y552" r:id="rId82" xr:uid="{FA7A44E0-5147-4EED-B802-95436BC64534}"/>
    <hyperlink ref="Y316" r:id="rId83" xr:uid="{D47EDE92-57D0-48A2-BB2F-BE795AC0CC56}"/>
    <hyperlink ref="Y673" r:id="rId84" xr:uid="{9323C3F6-D036-48CF-818F-51311A4E09B7}"/>
    <hyperlink ref="Y202" r:id="rId85" xr:uid="{3BE4C051-E65A-4F82-8F8B-24004968A50C}"/>
    <hyperlink ref="Y554" r:id="rId86" xr:uid="{0529F2BE-225D-4290-A301-F9FE1883ED96}"/>
    <hyperlink ref="Y655" r:id="rId87" xr:uid="{5B441282-8E01-405B-A3AC-9A88FBD3E915}"/>
    <hyperlink ref="Y428" r:id="rId88" xr:uid="{BF78C0D1-58E7-4C9F-A011-0318525A75CE}"/>
    <hyperlink ref="Y106" r:id="rId89" xr:uid="{7B16E357-6DF9-4FFE-BCBE-F29D65C5A644}"/>
    <hyperlink ref="Y523" r:id="rId90" xr:uid="{14642EBF-4A2E-4EA8-97EB-4A463F567071}"/>
    <hyperlink ref="Y727" r:id="rId91" xr:uid="{B65E2753-8087-4B9B-8185-0C71E49A2851}"/>
    <hyperlink ref="Y121" r:id="rId92" xr:uid="{8A40F5AE-0B7A-4D60-9FA5-0FCE0D55D78D}"/>
    <hyperlink ref="Y512" r:id="rId93" xr:uid="{81DFE8C6-EB1F-483A-91EB-E556ED8B885A}"/>
    <hyperlink ref="Y578" r:id="rId94" xr:uid="{B8CA4C39-0FF8-4607-BB26-B2C4CD8D70BB}"/>
    <hyperlink ref="Y242" r:id="rId95" xr:uid="{2CBB9001-65F7-423F-A6E8-017DDF9B9D33}"/>
    <hyperlink ref="Y104" r:id="rId96" xr:uid="{28DBB8C5-EE54-472E-985E-396CC65EBA48}"/>
    <hyperlink ref="Y82" r:id="rId97" xr:uid="{7E4CB358-0FCC-4B13-A7EB-2693FD5C4DF5}"/>
    <hyperlink ref="Y297" r:id="rId98" xr:uid="{5BEED4BC-6F0F-497E-AD9F-E0D1ABE8436C}"/>
    <hyperlink ref="Y371" r:id="rId99" xr:uid="{A3BF0DA1-16F8-45AB-98B0-94FA57C34FB0}"/>
    <hyperlink ref="Y387" r:id="rId100" xr:uid="{472B0BF6-35EE-4AEC-B8E0-9CF1BA726707}"/>
    <hyperlink ref="Y368" r:id="rId101" xr:uid="{8AE90441-0192-4A29-BFEF-EB58EF60147C}"/>
    <hyperlink ref="Y295" r:id="rId102" xr:uid="{64B39AEA-8859-4EE3-BC35-F905701F32FC}"/>
    <hyperlink ref="Y240" r:id="rId103" xr:uid="{C2B14BCE-A524-4E71-A8D2-A45BEF12555C}"/>
    <hyperlink ref="Y216" r:id="rId104" xr:uid="{748420DE-331A-46F8-91CC-039539D95EB3}"/>
    <hyperlink ref="Y238" r:id="rId105" xr:uid="{69A34692-A692-41F7-9712-3B53921FDC5F}"/>
    <hyperlink ref="Y310" r:id="rId106" xr:uid="{918F376A-DFB6-4CF4-ABDD-A089FAD60DF0}"/>
    <hyperlink ref="Y335" r:id="rId107" xr:uid="{D6F3CEFB-5570-4AD7-9A35-D60906770552}"/>
    <hyperlink ref="Y343" r:id="rId108" xr:uid="{38BA5301-8960-4BE3-BB34-228F05D4C206}"/>
    <hyperlink ref="Y398" r:id="rId109" xr:uid="{97CF29D3-23C1-4705-83B3-4328AE3B4F6A}"/>
    <hyperlink ref="Y435" r:id="rId110" xr:uid="{C9E76FD9-D22B-4F1C-A4F7-1B4834841C58}"/>
    <hyperlink ref="Y189" r:id="rId111" xr:uid="{3E8C0530-91E3-4F37-8AA7-38B58E7933A8}"/>
    <hyperlink ref="Y251" r:id="rId112" xr:uid="{9ED16F89-C1BB-4CC6-8BFF-8A03261CD1CF}"/>
    <hyperlink ref="Y47" r:id="rId113" xr:uid="{3538713D-2F01-44DF-827D-B8A1172014A2}"/>
    <hyperlink ref="Y99" r:id="rId114" xr:uid="{FBDF3598-23FD-4DF9-86F2-EB7F3C4D50E2}"/>
    <hyperlink ref="Y144" r:id="rId115" xr:uid="{0D61CDEA-7CD1-420A-B466-36B1FE42EB3D}"/>
    <hyperlink ref="Y132" r:id="rId116" xr:uid="{58D10CE7-4450-4D06-AA51-9E11A36DBDCA}"/>
    <hyperlink ref="Y124" r:id="rId117" xr:uid="{E9784261-0F6C-42F9-9B1C-D66151A5A9CD}"/>
    <hyperlink ref="Y45" r:id="rId118" xr:uid="{313DAECD-D8E4-477E-B770-CDA4D0AAADBA}"/>
    <hyperlink ref="Y97" r:id="rId119" xr:uid="{C5C123DB-7AA0-4C92-8FF4-9BCBEBB022FB}"/>
    <hyperlink ref="Y94" r:id="rId120" xr:uid="{603F004D-9778-479D-A231-7453362304A0}"/>
    <hyperlink ref="Y43" r:id="rId121" xr:uid="{F834BFE3-B1F3-4CE4-B8BB-5E8E4608427D}"/>
    <hyperlink ref="Y151" r:id="rId122" xr:uid="{35E04CF2-064C-435B-A776-663AC95A5B87}"/>
    <hyperlink ref="Y36" r:id="rId123" xr:uid="{B1F7FABC-A707-47C4-A762-624930542A4B}"/>
    <hyperlink ref="Y109" r:id="rId124" xr:uid="{0412E18E-8571-475E-A616-50EFD9AACF0F}"/>
    <hyperlink ref="Y108" r:id="rId125" xr:uid="{8B9C1C02-295B-4A11-B3E5-542A0781DE43}"/>
    <hyperlink ref="Y15" r:id="rId126" xr:uid="{D401E8C2-99B0-4279-B6B9-EB15EB26D57B}"/>
    <hyperlink ref="Y583" r:id="rId127" xr:uid="{0A166007-61A8-4FFF-A20A-37C8B612F883}"/>
    <hyperlink ref="Y582" r:id="rId128" xr:uid="{D021C3CA-FF13-4A83-AD90-B8416AD96033}"/>
    <hyperlink ref="Y546" r:id="rId129" xr:uid="{72AF6FA9-C799-4F18-B1E9-FE301AFE5F9C}"/>
    <hyperlink ref="Y536" r:id="rId130" xr:uid="{776EB26B-4333-4DE3-8FF4-D66A0D5A3183}"/>
    <hyperlink ref="Y650" r:id="rId131" xr:uid="{96689BED-037E-4615-B4B8-3613322C35AC}"/>
    <hyperlink ref="Y580" r:id="rId132" xr:uid="{5F1442D7-B8CE-493A-95E3-2C543A22C850}"/>
    <hyperlink ref="Y573" r:id="rId133" xr:uid="{E7018C62-EEF6-491C-9F59-A6F59F247FB1}"/>
    <hyperlink ref="Y602" r:id="rId134" xr:uid="{CF819E18-C9D0-47CE-AA71-7AC8BB119E79}"/>
    <hyperlink ref="Y597" r:id="rId135" xr:uid="{043D83A1-78E9-4400-A610-98C567E376F4}"/>
    <hyperlink ref="Y723" r:id="rId136" xr:uid="{E93DDCEA-30F1-495A-BD85-5DECD9D32704}"/>
    <hyperlink ref="Y508" r:id="rId137" xr:uid="{2983A39B-ADC3-4F5F-A523-F845161D8CCF}"/>
    <hyperlink ref="Y637" r:id="rId138" xr:uid="{67BE2E34-5491-4DEC-9A10-5180D3A13CAF}"/>
    <hyperlink ref="Y615" r:id="rId139" xr:uid="{689DD728-E335-4CA3-8C95-12A54245D04E}"/>
    <hyperlink ref="Y567" r:id="rId140" xr:uid="{358046EB-2FFA-4088-A409-8A5C4CA60F07}"/>
    <hyperlink ref="Y470" r:id="rId141" xr:uid="{233C4B7A-5100-4B82-A193-5F9017C2CDDD}"/>
    <hyperlink ref="Z500" r:id="rId142" xr:uid="{62F5823D-2E38-4F56-84D5-2A3C3072F93B}"/>
    <hyperlink ref="Y318" r:id="rId143" xr:uid="{4A3F6217-5D00-4462-B163-07A8C67DC62D}"/>
    <hyperlink ref="Z318" r:id="rId144" xr:uid="{B22C9E2E-410F-43EE-B306-25B538E99642}"/>
    <hyperlink ref="Y441" r:id="rId145" xr:uid="{D55978EA-391B-4312-84FA-01154D9A5C24}"/>
    <hyperlink ref="Z441" r:id="rId146" xr:uid="{2B9E7599-133D-4B04-BA6A-1B92CF365B71}"/>
    <hyperlink ref="Y360" r:id="rId147" xr:uid="{AECE738A-7C7E-4D14-92FF-2DA7176FB5F8}"/>
    <hyperlink ref="Z360" r:id="rId148" xr:uid="{BC80E086-3E95-4AA4-A3E6-487EFEBA01A2}"/>
    <hyperlink ref="Y280" r:id="rId149" xr:uid="{9E462174-422E-4017-ADC9-8F6141626813}"/>
    <hyperlink ref="Z280" r:id="rId150" xr:uid="{33949B19-4E72-435B-BD8A-A8BA33604812}"/>
    <hyperlink ref="Y127" r:id="rId151" xr:uid="{16C6C787-9EB2-45CC-9342-ADC575E3768C}"/>
    <hyperlink ref="Z127" r:id="rId152" xr:uid="{E0E0251F-463C-41EE-9C3D-1AF73295B7C7}"/>
    <hyperlink ref="Y100" r:id="rId153" xr:uid="{D17EA695-3650-49C9-B3DF-7DCB6FD7AC0E}"/>
    <hyperlink ref="Z100" r:id="rId154" xr:uid="{AB3E0AD4-F4BB-48E8-AC11-00BC7BAAF4D1}"/>
    <hyperlink ref="Y7" r:id="rId155" xr:uid="{D9DF5F15-230F-4144-9398-E41BE09E235E}"/>
    <hyperlink ref="Z7" r:id="rId156" xr:uid="{935ECAE2-47BE-4CF2-87A5-9A60F19486D0}"/>
    <hyperlink ref="Y52" r:id="rId157" xr:uid="{72B480DD-B81A-4699-9847-7997984FF3F5}"/>
    <hyperlink ref="Z52" r:id="rId158" xr:uid="{AF4790E0-4457-4F3B-9E8B-FEC96821715A}"/>
    <hyperlink ref="Y651" r:id="rId159" xr:uid="{0C6F68E3-E6E4-4084-AC6D-C964CC121472}"/>
    <hyperlink ref="Z651" r:id="rId160" xr:uid="{69B54C6B-EF2F-456E-922D-00DAB84365E4}"/>
    <hyperlink ref="Y468" r:id="rId161" xr:uid="{8A686E6B-82AE-4882-A300-389263156B23}"/>
    <hyperlink ref="Z468" r:id="rId162" xr:uid="{47403E9A-30DF-4A77-9419-370D78AB845F}"/>
    <hyperlink ref="Y510" r:id="rId163" xr:uid="{3D906B7F-0307-4BF1-B3A1-5B20C9E55785}"/>
    <hyperlink ref="Z510" r:id="rId164" xr:uid="{CC683F52-D5BB-4BDF-9476-F120AD502615}"/>
    <hyperlink ref="Y541" r:id="rId165" xr:uid="{071FC59D-218D-49B7-AC5F-41AA36AF6DB2}"/>
    <hyperlink ref="Z541" r:id="rId166" xr:uid="{CA4D6A11-867E-462D-8828-4AE36AFD84A3}"/>
    <hyperlink ref="Y296" r:id="rId167" xr:uid="{975E8251-9F1D-4F3B-A7DA-E01F31C8B27E}"/>
    <hyperlink ref="Y261" r:id="rId168" xr:uid="{5213CAD3-4ED9-42CC-92E7-CB2D77D4EBE3}"/>
    <hyperlink ref="Y78" r:id="rId169" xr:uid="{AFD1701A-9161-46DF-A8CA-279BDBA5420C}"/>
    <hyperlink ref="Y570" r:id="rId170" xr:uid="{A22C31CF-297C-4266-907A-D35E4BE774A9}"/>
    <hyperlink ref="Y37" r:id="rId171" xr:uid="{51BA5783-6631-4E70-AF11-1EC36FDF45A6}"/>
    <hyperlink ref="Z181" r:id="rId172" xr:uid="{D274DD42-DA9C-49AD-B2D5-C145A605FAD3}"/>
    <hyperlink ref="Y92" r:id="rId173" xr:uid="{85470719-B020-4847-8B57-D0FB0E318477}"/>
    <hyperlink ref="Y96" r:id="rId174" xr:uid="{03964981-7AD7-4C5C-A3A8-A3ACF769B19D}"/>
    <hyperlink ref="Y538" r:id="rId175" xr:uid="{C0384B47-3E45-4DE1-AE12-C72C3204DDD4}"/>
    <hyperlink ref="Y287" r:id="rId176" xr:uid="{4D7A1229-95A1-46B8-9057-4EA6AC9AB321}"/>
    <hyperlink ref="Y313" r:id="rId177" xr:uid="{C3B802F5-1693-467F-9C2C-42E106E57FDF}"/>
    <hyperlink ref="Y131" r:id="rId178" xr:uid="{8D3A5052-E3C7-48C7-8BF4-91C68E4CAAE2}"/>
    <hyperlink ref="Y150" r:id="rId179" xr:uid="{0B8CB806-2C55-49AD-A44A-DDD09CE7D030}"/>
    <hyperlink ref="Y196" r:id="rId180" xr:uid="{21EC85AB-74DD-4706-A43E-C35C86475F57}"/>
    <hyperlink ref="Y70" r:id="rId181" xr:uid="{941DD40E-5035-4DC4-8F97-9CF0B49A0E66}"/>
    <hyperlink ref="Y453" r:id="rId182" xr:uid="{3F82EF42-955F-4AC3-80C7-4517B47A2565}"/>
    <hyperlink ref="Y549" r:id="rId183" xr:uid="{D7EC8D8F-101A-4D2B-ACA7-52E45BAE740D}"/>
    <hyperlink ref="Y577" r:id="rId184" xr:uid="{76552E76-BCA3-485C-9DC4-089A11ED5170}"/>
    <hyperlink ref="Y564" r:id="rId185" xr:uid="{6F5B78A6-E006-4FD2-8D88-72B74A33C2DA}"/>
  </hyperlinks>
  <pageMargins left="0.7" right="0.7" top="0.75" bottom="0.75" header="0.3" footer="0.3"/>
  <pageSetup orientation="portrait" horizontalDpi="1200" verticalDpi="1200" r:id="rId186"/>
  <tableParts count="1">
    <tablePart r:id="rId18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5F950-6CEE-448B-8D82-36114FFB4201}">
  <dimension ref="A1:B11"/>
  <sheetViews>
    <sheetView workbookViewId="0">
      <selection activeCell="B4" sqref="B4"/>
    </sheetView>
  </sheetViews>
  <sheetFormatPr defaultRowHeight="15" x14ac:dyDescent="0.25"/>
  <cols>
    <col min="1" max="1" width="14.5703125" customWidth="1"/>
    <col min="2" max="2" width="75.42578125" style="39" customWidth="1"/>
  </cols>
  <sheetData>
    <row r="1" spans="1:2" ht="17.25" x14ac:dyDescent="0.3">
      <c r="A1" s="35"/>
      <c r="B1" s="37" t="s">
        <v>5332</v>
      </c>
    </row>
    <row r="2" spans="1:2" ht="17.25" x14ac:dyDescent="0.3">
      <c r="A2" s="35"/>
      <c r="B2" s="38"/>
    </row>
    <row r="3" spans="1:2" ht="34.5" x14ac:dyDescent="0.3">
      <c r="A3" s="90"/>
      <c r="B3" s="37" t="s">
        <v>5333</v>
      </c>
    </row>
    <row r="4" spans="1:2" ht="17.25" x14ac:dyDescent="0.3">
      <c r="A4" s="35"/>
      <c r="B4" s="37"/>
    </row>
    <row r="5" spans="1:2" ht="17.25" x14ac:dyDescent="0.3">
      <c r="A5" s="48" t="s">
        <v>4317</v>
      </c>
      <c r="B5" s="37" t="s">
        <v>5334</v>
      </c>
    </row>
    <row r="6" spans="1:2" ht="17.25" x14ac:dyDescent="0.3">
      <c r="A6" s="48"/>
      <c r="B6" s="37"/>
    </row>
    <row r="7" spans="1:2" ht="17.25" x14ac:dyDescent="0.3">
      <c r="A7" s="49"/>
      <c r="B7" s="37" t="s">
        <v>5335</v>
      </c>
    </row>
    <row r="8" spans="1:2" ht="17.25" x14ac:dyDescent="0.3">
      <c r="A8" s="35"/>
      <c r="B8" s="37"/>
    </row>
    <row r="9" spans="1:2" ht="17.25" x14ac:dyDescent="0.3">
      <c r="A9" s="36"/>
      <c r="B9" s="37" t="s">
        <v>5336</v>
      </c>
    </row>
    <row r="10" spans="1:2" ht="17.25" x14ac:dyDescent="0.3">
      <c r="A10" s="35"/>
      <c r="B10" s="37"/>
    </row>
    <row r="11" spans="1:2" ht="51.75" x14ac:dyDescent="0.3">
      <c r="A11" s="47"/>
      <c r="B11" s="37" t="s">
        <v>5337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237EC23D2644408650EFF1212CA59C" ma:contentTypeVersion="15" ma:contentTypeDescription="Create a new document." ma:contentTypeScope="" ma:versionID="0242cfd484883ee6150d01bef23b2ee2">
  <xsd:schema xmlns:xsd="http://www.w3.org/2001/XMLSchema" xmlns:xs="http://www.w3.org/2001/XMLSchema" xmlns:p="http://schemas.microsoft.com/office/2006/metadata/properties" xmlns:ns2="279d3189-05ad-4615-b02f-f4bc769f2be9" xmlns:ns3="3b69b6c4-0a06-4dd5-924b-21f09e5e4f9e" targetNamespace="http://schemas.microsoft.com/office/2006/metadata/properties" ma:root="true" ma:fieldsID="46de872afbc2000cd5fb2f48168c9ee2" ns2:_="" ns3:_="">
    <xsd:import namespace="279d3189-05ad-4615-b02f-f4bc769f2be9"/>
    <xsd:import namespace="3b69b6c4-0a06-4dd5-924b-21f09e5e4f9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9d3189-05ad-4615-b02f-f4bc769f2b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a27671-bf34-4348-950b-b154461f6f6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b69b6c4-0a06-4dd5-924b-21f09e5e4f9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9d3189-05ad-4615-b02f-f4bc769f2b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8DB8EA-14B0-4258-B95B-C870E14BF5A7}">
  <ds:schemaRefs>
    <ds:schemaRef ds:uri="http://schemas.microsoft.com/sharepoint/v3/contenttype/forms"/>
  </ds:schemaRefs>
</ds:datastoreItem>
</file>

<file path=customXml/itemProps2.xml><?xml version="1.0" encoding="utf-8"?>
<ds:datastoreItem xmlns:ds="http://schemas.openxmlformats.org/officeDocument/2006/customXml" ds:itemID="{F01CF01C-55B9-4FEC-AD1B-6D2EA7AD25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9d3189-05ad-4615-b02f-f4bc769f2be9"/>
    <ds:schemaRef ds:uri="3b69b6c4-0a06-4dd5-924b-21f09e5e4f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20419F-EA5F-4A42-ACEA-3ECA3C14DEBE}">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279d3189-05ad-4615-b02f-f4bc769f2be9"/>
    <ds:schemaRef ds:uri="http://purl.org/dc/terms/"/>
    <ds:schemaRef ds:uri="http://schemas.openxmlformats.org/package/2006/metadata/core-properties"/>
    <ds:schemaRef ds:uri="3b69b6c4-0a06-4dd5-924b-21f09e5e4f9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Markers</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Marshall-Steele, Corey (DOS)</dc:creator>
  <cp:keywords/>
  <dc:description/>
  <cp:lastModifiedBy>Mooers, Victoria (DOS)</cp:lastModifiedBy>
  <cp:revision/>
  <dcterms:created xsi:type="dcterms:W3CDTF">2021-12-07T15:06:22Z</dcterms:created>
  <dcterms:modified xsi:type="dcterms:W3CDTF">2026-03-03T17:05:00Z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0x01010040237EC23D2644408650EFF1212CA59C</vt:lpwstr>
  </property>
  <property fmtid="{D5CDD505-2E9C-101B-9397-08002B2CF9AE}" pid="3" name="MediaServiceImageTags">
    <vt:lpwstr/>
  </property>
</Properties>
</file>